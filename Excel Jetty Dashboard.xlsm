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info\Desktop\Taiwo Folder\"/>
    </mc:Choice>
  </mc:AlternateContent>
  <xr:revisionPtr revIDLastSave="0" documentId="13_ncr:1_{3CD0F0DD-41C8-4A09-A25A-B4C0DCC72D8F}" xr6:coauthVersionLast="47" xr6:coauthVersionMax="47" xr10:uidLastSave="{00000000-0000-0000-0000-000000000000}"/>
  <bookViews>
    <workbookView xWindow="-108" yWindow="-108" windowWidth="23256" windowHeight="12456" xr2:uid="{00000000-000D-0000-FFFF-FFFF00000000}"/>
  </bookViews>
  <sheets>
    <sheet name="Jetty Dashboard" sheetId="10" r:id="rId1"/>
    <sheet name="Passengers Arrival-Departure " sheetId="2" r:id="rId2"/>
    <sheet name="Operation of Boats Per Location" sheetId="9" r:id="rId3"/>
    <sheet name="Total arrival and departure" sheetId="3" r:id="rId4"/>
    <sheet name="Boat Operations Per Time" sheetId="7" r:id="rId5"/>
    <sheet name="total boat traffic count per mo" sheetId="1" r:id="rId6"/>
  </sheets>
  <definedNames>
    <definedName name="Slicer_arrival_departur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 i="3" l="1"/>
  <c r="C25" i="3"/>
  <c r="G20" i="2"/>
</calcChain>
</file>

<file path=xl/sharedStrings.xml><?xml version="1.0" encoding="utf-8"?>
<sst xmlns="http://schemas.openxmlformats.org/spreadsheetml/2006/main" count="167" uniqueCount="91">
  <si>
    <t>month</t>
  </si>
  <si>
    <t>total_arrivals_and_departures</t>
  </si>
  <si>
    <t xml:space="preserve">April    </t>
  </si>
  <si>
    <t xml:space="preserve">August   </t>
  </si>
  <si>
    <t xml:space="preserve">December </t>
  </si>
  <si>
    <t xml:space="preserve">February </t>
  </si>
  <si>
    <t xml:space="preserve">January  </t>
  </si>
  <si>
    <t xml:space="preserve">July     </t>
  </si>
  <si>
    <t xml:space="preserve">June     </t>
  </si>
  <si>
    <t xml:space="preserve">March    </t>
  </si>
  <si>
    <t xml:space="preserve">May      </t>
  </si>
  <si>
    <t xml:space="preserve">November </t>
  </si>
  <si>
    <t xml:space="preserve">October  </t>
  </si>
  <si>
    <t>September</t>
  </si>
  <si>
    <t>total_passengers</t>
  </si>
  <si>
    <t>Arrival</t>
  </si>
  <si>
    <t>Departure</t>
  </si>
  <si>
    <t>total_arrivals</t>
  </si>
  <si>
    <t>total_departures</t>
  </si>
  <si>
    <t>hour_range</t>
  </si>
  <si>
    <t>arrivals</t>
  </si>
  <si>
    <t>departures</t>
  </si>
  <si>
    <t>ABOMITI</t>
  </si>
  <si>
    <t>Addax</t>
  </si>
  <si>
    <t>Agaja</t>
  </si>
  <si>
    <t>Agboyi 1</t>
  </si>
  <si>
    <t>Agboyi 2</t>
  </si>
  <si>
    <t>Agboyi 3</t>
  </si>
  <si>
    <t>Ajido</t>
  </si>
  <si>
    <t>Alex</t>
  </si>
  <si>
    <t>Apapa</t>
  </si>
  <si>
    <t>Apapa Flour Mill</t>
  </si>
  <si>
    <t>Badagry</t>
  </si>
  <si>
    <t>Badore</t>
  </si>
  <si>
    <t>Baiyeku</t>
  </si>
  <si>
    <t>Bayeku</t>
  </si>
  <si>
    <t>Bishokoji</t>
  </si>
  <si>
    <t>CMS</t>
  </si>
  <si>
    <t>Coconut</t>
  </si>
  <si>
    <t>Community (Eto Agan, Tomo, Igbo Ejo,)</t>
  </si>
  <si>
    <t>Ebute-Ero</t>
  </si>
  <si>
    <t>Ebute Ero</t>
  </si>
  <si>
    <t>Ebute Ipakodo</t>
  </si>
  <si>
    <t>Egan</t>
  </si>
  <si>
    <t>Esofi</t>
  </si>
  <si>
    <t>Etegbin</t>
  </si>
  <si>
    <t>Eyin-Osa</t>
  </si>
  <si>
    <t>Falomo</t>
  </si>
  <si>
    <t>Falomo (VI)</t>
  </si>
  <si>
    <t>Gbaji Yekeme</t>
  </si>
  <si>
    <t>Ibasa</t>
  </si>
  <si>
    <t>Ibeshe</t>
  </si>
  <si>
    <t>Igbologun</t>
  </si>
  <si>
    <t>Ijede</t>
  </si>
  <si>
    <t>Ijegun Egba Jetty</t>
  </si>
  <si>
    <t>Ikare</t>
  </si>
  <si>
    <t>Ilashe</t>
  </si>
  <si>
    <t>Irede</t>
  </si>
  <si>
    <t>Irewe</t>
  </si>
  <si>
    <t>Isigi</t>
  </si>
  <si>
    <t>Iwopin</t>
  </si>
  <si>
    <t>Iyana Ibiye</t>
  </si>
  <si>
    <t>Langbasa</t>
  </si>
  <si>
    <t>liverpool</t>
  </si>
  <si>
    <t>Liverpool</t>
  </si>
  <si>
    <t>Morogbo</t>
  </si>
  <si>
    <t>Ofin</t>
  </si>
  <si>
    <t>Ojo</t>
  </si>
  <si>
    <t>Oke Ira NLa/Langbasa</t>
  </si>
  <si>
    <t>Oko agbon</t>
  </si>
  <si>
    <t>Oko Agbon</t>
  </si>
  <si>
    <t>Ondo</t>
  </si>
  <si>
    <t>Outside Bar</t>
  </si>
  <si>
    <t>Point of no return</t>
  </si>
  <si>
    <t>Power Station</t>
  </si>
  <si>
    <t>Rainbow2</t>
  </si>
  <si>
    <t>Sabokoji</t>
  </si>
  <si>
    <t>Sagbokoji</t>
  </si>
  <si>
    <t>Snake Island</t>
  </si>
  <si>
    <t>Takwa Bay</t>
  </si>
  <si>
    <t>Tin Can Firstgate</t>
  </si>
  <si>
    <t>VI</t>
  </si>
  <si>
    <t>Agbara</t>
  </si>
  <si>
    <t>Okonudu</t>
  </si>
  <si>
    <t>Others</t>
  </si>
  <si>
    <t>Operation Of Boats</t>
  </si>
  <si>
    <t>Click on the Slicer to change operation type</t>
  </si>
  <si>
    <t>Operation</t>
  </si>
  <si>
    <t>Location with the lowest Operations</t>
  </si>
  <si>
    <t>Location with the Highest Operations</t>
  </si>
  <si>
    <t>Other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</si>
</sst>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20" fontId="0" fillId="0" borderId="0" xfId="0" applyNumberFormat="1"/>
    <xf numFmtId="0" fontId="0" fillId="33" borderId="0" xfId="0" applyFill="1"/>
    <xf numFmtId="0" fontId="18" fillId="34" borderId="0" xfId="0" applyFont="1" applyFill="1" applyAlignment="1">
      <alignment horizontal="center"/>
    </xf>
    <xf numFmtId="0" fontId="0" fillId="34"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5" formatCode="hh:mm"/>
    </dxf>
    <dxf>
      <fill>
        <patternFill>
          <bgColor rgb="FF002060"/>
        </patternFill>
      </fill>
    </dxf>
  </dxfs>
  <tableStyles count="1" defaultTableStyle="TableStyleMedium2" defaultPivotStyle="PivotStyleLight16">
    <tableStyle name="Slicer Style 1" pivot="0" table="0" count="1" xr9:uid="{F3038FDF-E475-44D7-88D1-A836A0F31A97}">
      <tableStyleElement type="headerRow" dxfId="1"/>
    </tableStyle>
  </tableStyles>
  <colors>
    <mruColors>
      <color rgb="FFEAEAEA"/>
      <color rgb="FF66CCFF"/>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Total</a:t>
            </a:r>
            <a:r>
              <a:rPr lang="en-US" sz="1200" b="1" baseline="0"/>
              <a:t> </a:t>
            </a:r>
            <a:r>
              <a:rPr lang="en-US" sz="1200" b="1"/>
              <a:t>arrival of</a:t>
            </a:r>
            <a:r>
              <a:rPr lang="en-US" sz="1200" b="1" baseline="0"/>
              <a:t> Boats Per Month</a:t>
            </a:r>
            <a:endParaRPr lang="en-US" sz="1200" b="1"/>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'Total arrival and departure'!$B$1</c:f>
              <c:strCache>
                <c:ptCount val="1"/>
                <c:pt idx="0">
                  <c:v>total_arrivals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f>'Total arrival and departure'!$A$2:$A$13</c:f>
              <c:strCache>
                <c:ptCount val="12"/>
                <c:pt idx="0">
                  <c:v>December </c:v>
                </c:pt>
                <c:pt idx="1">
                  <c:v>January  </c:v>
                </c:pt>
                <c:pt idx="2">
                  <c:v>February </c:v>
                </c:pt>
                <c:pt idx="3">
                  <c:v>March    </c:v>
                </c:pt>
                <c:pt idx="4">
                  <c:v>April    </c:v>
                </c:pt>
                <c:pt idx="5">
                  <c:v>May      </c:v>
                </c:pt>
                <c:pt idx="6">
                  <c:v>June     </c:v>
                </c:pt>
                <c:pt idx="7">
                  <c:v>July     </c:v>
                </c:pt>
                <c:pt idx="8">
                  <c:v>August   </c:v>
                </c:pt>
                <c:pt idx="9">
                  <c:v>September</c:v>
                </c:pt>
                <c:pt idx="10">
                  <c:v>October  </c:v>
                </c:pt>
                <c:pt idx="11">
                  <c:v>November </c:v>
                </c:pt>
              </c:strCache>
            </c:strRef>
          </c:cat>
          <c:val>
            <c:numRef>
              <c:f>'Total arrival and departure'!$B$2:$B$13</c:f>
              <c:numCache>
                <c:formatCode>General</c:formatCode>
                <c:ptCount val="12"/>
                <c:pt idx="0">
                  <c:v>6397</c:v>
                </c:pt>
                <c:pt idx="1">
                  <c:v>9514</c:v>
                </c:pt>
                <c:pt idx="2">
                  <c:v>8791</c:v>
                </c:pt>
                <c:pt idx="3">
                  <c:v>8271</c:v>
                </c:pt>
                <c:pt idx="4">
                  <c:v>7862</c:v>
                </c:pt>
                <c:pt idx="5">
                  <c:v>6612</c:v>
                </c:pt>
                <c:pt idx="6">
                  <c:v>5766</c:v>
                </c:pt>
                <c:pt idx="7">
                  <c:v>4886</c:v>
                </c:pt>
                <c:pt idx="8">
                  <c:v>5554</c:v>
                </c:pt>
                <c:pt idx="9">
                  <c:v>4380</c:v>
                </c:pt>
                <c:pt idx="10">
                  <c:v>4970</c:v>
                </c:pt>
                <c:pt idx="11">
                  <c:v>929</c:v>
                </c:pt>
              </c:numCache>
            </c:numRef>
          </c:val>
          <c:smooth val="0"/>
          <c:extLst>
            <c:ext xmlns:c16="http://schemas.microsoft.com/office/drawing/2014/chart" uri="{C3380CC4-5D6E-409C-BE32-E72D297353CC}">
              <c16:uniqueId val="{00000000-8A02-46CF-953C-A32F340DE9CE}"/>
            </c:ext>
          </c:extLst>
        </c:ser>
        <c:dLbls>
          <c:showLegendKey val="0"/>
          <c:showVal val="0"/>
          <c:showCatName val="0"/>
          <c:showSerName val="0"/>
          <c:showPercent val="0"/>
          <c:showBubbleSize val="0"/>
        </c:dLbls>
        <c:marker val="1"/>
        <c:smooth val="0"/>
        <c:axId val="191859216"/>
        <c:axId val="191857968"/>
      </c:lineChart>
      <c:catAx>
        <c:axId val="191859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91857968"/>
        <c:crosses val="autoZero"/>
        <c:auto val="1"/>
        <c:lblAlgn val="ctr"/>
        <c:lblOffset val="100"/>
        <c:noMultiLvlLbl val="0"/>
      </c:catAx>
      <c:valAx>
        <c:axId val="191857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 Arrival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91859216"/>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outerShdw dist="50800" dir="5400000" sx="99000" sy="99000" algn="ctr" rotWithShape="0">
        <a:srgbClr val="000000"/>
      </a:outerShdw>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Total Depature of Boats</a:t>
            </a:r>
            <a:r>
              <a:rPr lang="en-US" sz="1200" b="1" baseline="0"/>
              <a:t> Per Month</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'Total arrival and departure'!$L$1</c:f>
              <c:strCache>
                <c:ptCount val="1"/>
                <c:pt idx="0">
                  <c:v>total_departures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f>'Total arrival and departure'!$K$2:$K$13</c:f>
              <c:strCache>
                <c:ptCount val="12"/>
                <c:pt idx="0">
                  <c:v>December </c:v>
                </c:pt>
                <c:pt idx="1">
                  <c:v>January  </c:v>
                </c:pt>
                <c:pt idx="2">
                  <c:v>February </c:v>
                </c:pt>
                <c:pt idx="3">
                  <c:v>March    </c:v>
                </c:pt>
                <c:pt idx="4">
                  <c:v>April    </c:v>
                </c:pt>
                <c:pt idx="5">
                  <c:v>May      </c:v>
                </c:pt>
                <c:pt idx="6">
                  <c:v>June     </c:v>
                </c:pt>
                <c:pt idx="7">
                  <c:v>July     </c:v>
                </c:pt>
                <c:pt idx="8">
                  <c:v>August   </c:v>
                </c:pt>
                <c:pt idx="9">
                  <c:v>September</c:v>
                </c:pt>
                <c:pt idx="10">
                  <c:v>October  </c:v>
                </c:pt>
                <c:pt idx="11">
                  <c:v>November </c:v>
                </c:pt>
              </c:strCache>
            </c:strRef>
          </c:cat>
          <c:val>
            <c:numRef>
              <c:f>'Total arrival and departure'!$L$2:$L$13</c:f>
              <c:numCache>
                <c:formatCode>General</c:formatCode>
                <c:ptCount val="12"/>
                <c:pt idx="0">
                  <c:v>5302</c:v>
                </c:pt>
                <c:pt idx="1">
                  <c:v>8433</c:v>
                </c:pt>
                <c:pt idx="2">
                  <c:v>8255</c:v>
                </c:pt>
                <c:pt idx="3">
                  <c:v>7377</c:v>
                </c:pt>
                <c:pt idx="4">
                  <c:v>7031</c:v>
                </c:pt>
                <c:pt idx="5">
                  <c:v>6915</c:v>
                </c:pt>
                <c:pt idx="6">
                  <c:v>5070</c:v>
                </c:pt>
                <c:pt idx="7">
                  <c:v>4829</c:v>
                </c:pt>
                <c:pt idx="8">
                  <c:v>5271</c:v>
                </c:pt>
                <c:pt idx="9">
                  <c:v>4492</c:v>
                </c:pt>
                <c:pt idx="10">
                  <c:v>4797</c:v>
                </c:pt>
                <c:pt idx="11">
                  <c:v>1008</c:v>
                </c:pt>
              </c:numCache>
            </c:numRef>
          </c:val>
          <c:smooth val="0"/>
          <c:extLst>
            <c:ext xmlns:c16="http://schemas.microsoft.com/office/drawing/2014/chart" uri="{C3380CC4-5D6E-409C-BE32-E72D297353CC}">
              <c16:uniqueId val="{00000000-D821-4959-9800-D4C63D018A10}"/>
            </c:ext>
          </c:extLst>
        </c:ser>
        <c:dLbls>
          <c:showLegendKey val="0"/>
          <c:showVal val="0"/>
          <c:showCatName val="0"/>
          <c:showSerName val="0"/>
          <c:showPercent val="0"/>
          <c:showBubbleSize val="0"/>
        </c:dLbls>
        <c:marker val="1"/>
        <c:smooth val="0"/>
        <c:axId val="187414912"/>
        <c:axId val="187419904"/>
      </c:lineChart>
      <c:catAx>
        <c:axId val="187414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87419904"/>
        <c:crosses val="autoZero"/>
        <c:auto val="1"/>
        <c:lblAlgn val="ctr"/>
        <c:lblOffset val="100"/>
        <c:noMultiLvlLbl val="0"/>
      </c:catAx>
      <c:valAx>
        <c:axId val="1874199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 Departure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87414912"/>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outerShdw dist="50800" dir="5460000" sx="99000" sy="99000" algn="ctr" rotWithShape="0">
        <a:srgbClr val="000000"/>
      </a:outerShdw>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a:t>Locations</a:t>
            </a:r>
            <a:r>
              <a:rPr lang="en-GB" b="1" baseline="0"/>
              <a:t> with the lowest  Boat operations</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bar"/>
        <c:grouping val="clustered"/>
        <c:varyColors val="0"/>
        <c:ser>
          <c:idx val="0"/>
          <c:order val="0"/>
          <c:tx>
            <c:strRef>
              <c:f>'Operation of Boats Per Location'!$B$1</c:f>
              <c:strCache>
                <c:ptCount val="1"/>
                <c:pt idx="0">
                  <c:v>Operation Of Boats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'Operation of Boats Per Location'!$A$2:$A$11</c:f>
              <c:strCache>
                <c:ptCount val="10"/>
                <c:pt idx="0">
                  <c:v>Oko agbon</c:v>
                </c:pt>
                <c:pt idx="1">
                  <c:v>Okonudu</c:v>
                </c:pt>
                <c:pt idx="2">
                  <c:v>Outside Bar</c:v>
                </c:pt>
                <c:pt idx="3">
                  <c:v>Ijegun Egba Jetty</c:v>
                </c:pt>
                <c:pt idx="4">
                  <c:v>Takwa Bay</c:v>
                </c:pt>
                <c:pt idx="5">
                  <c:v>ABOMITI</c:v>
                </c:pt>
                <c:pt idx="6">
                  <c:v>Iwopin</c:v>
                </c:pt>
                <c:pt idx="7">
                  <c:v>Agbara</c:v>
                </c:pt>
                <c:pt idx="8">
                  <c:v>Ondo</c:v>
                </c:pt>
                <c:pt idx="9">
                  <c:v>Ajido</c:v>
                </c:pt>
              </c:strCache>
            </c:strRef>
          </c:cat>
          <c:val>
            <c:numRef>
              <c:f>'Operation of Boats Per Location'!$B$2:$B$11</c:f>
              <c:numCache>
                <c:formatCode>General</c:formatCode>
                <c:ptCount val="10"/>
                <c:pt idx="0">
                  <c:v>1</c:v>
                </c:pt>
                <c:pt idx="1">
                  <c:v>1</c:v>
                </c:pt>
                <c:pt idx="2">
                  <c:v>1</c:v>
                </c:pt>
                <c:pt idx="3">
                  <c:v>2</c:v>
                </c:pt>
                <c:pt idx="4">
                  <c:v>3</c:v>
                </c:pt>
                <c:pt idx="5">
                  <c:v>4</c:v>
                </c:pt>
                <c:pt idx="6">
                  <c:v>4</c:v>
                </c:pt>
                <c:pt idx="7">
                  <c:v>5</c:v>
                </c:pt>
                <c:pt idx="8">
                  <c:v>5</c:v>
                </c:pt>
                <c:pt idx="9">
                  <c:v>6</c:v>
                </c:pt>
              </c:numCache>
            </c:numRef>
          </c:val>
          <c:extLst>
            <c:ext xmlns:c16="http://schemas.microsoft.com/office/drawing/2014/chart" uri="{C3380CC4-5D6E-409C-BE32-E72D297353CC}">
              <c16:uniqueId val="{00000000-73FF-4528-8636-061E8E519AAB}"/>
            </c:ext>
          </c:extLst>
        </c:ser>
        <c:dLbls>
          <c:dLblPos val="outEnd"/>
          <c:showLegendKey val="0"/>
          <c:showVal val="1"/>
          <c:showCatName val="0"/>
          <c:showSerName val="0"/>
          <c:showPercent val="0"/>
          <c:showBubbleSize val="0"/>
        </c:dLbls>
        <c:gapWidth val="182"/>
        <c:axId val="692062080"/>
        <c:axId val="692067904"/>
      </c:barChart>
      <c:catAx>
        <c:axId val="6920620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Location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67904"/>
        <c:crosses val="autoZero"/>
        <c:auto val="1"/>
        <c:lblAlgn val="ctr"/>
        <c:lblOffset val="100"/>
        <c:noMultiLvlLbl val="0"/>
      </c:catAx>
      <c:valAx>
        <c:axId val="692067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Operation 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62080"/>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t>Locations with the highest Boat Operations</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bar"/>
        <c:grouping val="clustered"/>
        <c:varyColors val="0"/>
        <c:ser>
          <c:idx val="0"/>
          <c:order val="0"/>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'Operation of Boats Per Location'!$C$9:$C$21</c:f>
              <c:strCache>
                <c:ptCount val="13"/>
                <c:pt idx="0">
                  <c:v>Langbasa</c:v>
                </c:pt>
                <c:pt idx="1">
                  <c:v>Ebute-Ero</c:v>
                </c:pt>
                <c:pt idx="2">
                  <c:v>Igbologun</c:v>
                </c:pt>
                <c:pt idx="3">
                  <c:v>Ebute Ipakodo</c:v>
                </c:pt>
                <c:pt idx="4">
                  <c:v>Ijede</c:v>
                </c:pt>
                <c:pt idx="5">
                  <c:v>Badore</c:v>
                </c:pt>
                <c:pt idx="6">
                  <c:v>VI</c:v>
                </c:pt>
                <c:pt idx="7">
                  <c:v>Community (Eto Agan, Tomo, Igbo Ejo,)</c:v>
                </c:pt>
                <c:pt idx="8">
                  <c:v>Bayeku</c:v>
                </c:pt>
                <c:pt idx="9">
                  <c:v>Sabokoji</c:v>
                </c:pt>
                <c:pt idx="10">
                  <c:v>Oke Ira NLa/Langbasa</c:v>
                </c:pt>
                <c:pt idx="11">
                  <c:v>Others</c:v>
                </c:pt>
                <c:pt idx="12">
                  <c:v>Alex</c:v>
                </c:pt>
              </c:strCache>
            </c:strRef>
          </c:cat>
          <c:val>
            <c:numRef>
              <c:f>'Operation of Boats Per Location'!$D$9:$D$21</c:f>
              <c:numCache>
                <c:formatCode>General</c:formatCode>
                <c:ptCount val="13"/>
                <c:pt idx="0">
                  <c:v>3501</c:v>
                </c:pt>
                <c:pt idx="1">
                  <c:v>3633</c:v>
                </c:pt>
                <c:pt idx="2">
                  <c:v>4112</c:v>
                </c:pt>
                <c:pt idx="3">
                  <c:v>4122</c:v>
                </c:pt>
                <c:pt idx="4">
                  <c:v>6306</c:v>
                </c:pt>
                <c:pt idx="5">
                  <c:v>7563</c:v>
                </c:pt>
                <c:pt idx="6">
                  <c:v>7658</c:v>
                </c:pt>
                <c:pt idx="7">
                  <c:v>8195</c:v>
                </c:pt>
                <c:pt idx="8">
                  <c:v>10884</c:v>
                </c:pt>
                <c:pt idx="9">
                  <c:v>11962</c:v>
                </c:pt>
                <c:pt idx="10">
                  <c:v>12099</c:v>
                </c:pt>
                <c:pt idx="11">
                  <c:v>14227</c:v>
                </c:pt>
                <c:pt idx="12">
                  <c:v>15097</c:v>
                </c:pt>
              </c:numCache>
            </c:numRef>
          </c:val>
          <c:extLst>
            <c:ext xmlns:c16="http://schemas.microsoft.com/office/drawing/2014/chart" uri="{C3380CC4-5D6E-409C-BE32-E72D297353CC}">
              <c16:uniqueId val="{00000000-FB50-4008-9280-E73E8CE1B49B}"/>
            </c:ext>
          </c:extLst>
        </c:ser>
        <c:dLbls>
          <c:showLegendKey val="0"/>
          <c:showVal val="1"/>
          <c:showCatName val="0"/>
          <c:showSerName val="0"/>
          <c:showPercent val="0"/>
          <c:showBubbleSize val="0"/>
        </c:dLbls>
        <c:gapWidth val="182"/>
        <c:axId val="422286768"/>
        <c:axId val="422283440"/>
      </c:barChart>
      <c:catAx>
        <c:axId val="4222867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Location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2283440"/>
        <c:crosses val="autoZero"/>
        <c:auto val="1"/>
        <c:lblAlgn val="ctr"/>
        <c:lblOffset val="100"/>
        <c:noMultiLvlLbl val="0"/>
      </c:catAx>
      <c:valAx>
        <c:axId val="4222834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Operation 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228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passengers per Month</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0.14374296027367836"/>
          <c:y val="0.16182556190465125"/>
          <c:w val="0.82299023999245602"/>
          <c:h val="0.60416406424755464"/>
        </c:manualLayout>
      </c:layout>
      <c:lineChart>
        <c:grouping val="standard"/>
        <c:varyColors val="0"/>
        <c:ser>
          <c:idx val="0"/>
          <c:order val="0"/>
          <c:tx>
            <c:strRef>
              <c:f>'Passengers Arrival-Departure '!$C$1</c:f>
              <c:strCache>
                <c:ptCount val="1"/>
                <c:pt idx="0">
                  <c:v>total_passengers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extLst>
                <c:ext xmlns:c15="http://schemas.microsoft.com/office/drawing/2012/chart" uri="{02D57815-91ED-43cb-92C2-25804820EDAC}">
                  <c15:fullRef>
                    <c15:sqref>'Passengers Arrival-Departure '!$A$2:$B$25</c15:sqref>
                  </c15:fullRef>
                  <c15:levelRef>
                    <c15:sqref>'Passengers Arrival-Departure '!$A$2:$A$25</c15:sqref>
                  </c15:levelRef>
                </c:ext>
              </c:extLst>
              <c:f>'Passengers Arrival-Departure '!$A$2:$A$25</c:f>
              <c:strCache>
                <c:ptCount val="12"/>
                <c:pt idx="0">
                  <c:v>December </c:v>
                </c:pt>
                <c:pt idx="1">
                  <c:v>January  </c:v>
                </c:pt>
                <c:pt idx="2">
                  <c:v>February </c:v>
                </c:pt>
                <c:pt idx="3">
                  <c:v>March    </c:v>
                </c:pt>
                <c:pt idx="4">
                  <c:v>April    </c:v>
                </c:pt>
                <c:pt idx="5">
                  <c:v>May      </c:v>
                </c:pt>
                <c:pt idx="6">
                  <c:v>June     </c:v>
                </c:pt>
                <c:pt idx="7">
                  <c:v>July     </c:v>
                </c:pt>
                <c:pt idx="8">
                  <c:v>August   </c:v>
                </c:pt>
                <c:pt idx="9">
                  <c:v>September</c:v>
                </c:pt>
                <c:pt idx="10">
                  <c:v>October  </c:v>
                </c:pt>
                <c:pt idx="11">
                  <c:v>November </c:v>
                </c:pt>
              </c:strCache>
            </c:strRef>
          </c:cat>
          <c:val>
            <c:numRef>
              <c:f>'Passengers Arrival-Departure '!$C$2:$C$25</c:f>
              <c:numCache>
                <c:formatCode>General</c:formatCode>
                <c:ptCount val="12"/>
                <c:pt idx="0">
                  <c:v>56166</c:v>
                </c:pt>
                <c:pt idx="1">
                  <c:v>102068</c:v>
                </c:pt>
                <c:pt idx="2">
                  <c:v>96929</c:v>
                </c:pt>
                <c:pt idx="3">
                  <c:v>85671</c:v>
                </c:pt>
                <c:pt idx="4">
                  <c:v>86560</c:v>
                </c:pt>
                <c:pt idx="5">
                  <c:v>92873</c:v>
                </c:pt>
                <c:pt idx="6">
                  <c:v>64285</c:v>
                </c:pt>
                <c:pt idx="7">
                  <c:v>59570</c:v>
                </c:pt>
                <c:pt idx="8">
                  <c:v>61744</c:v>
                </c:pt>
                <c:pt idx="9">
                  <c:v>55909</c:v>
                </c:pt>
                <c:pt idx="10">
                  <c:v>60027</c:v>
                </c:pt>
                <c:pt idx="11">
                  <c:v>12378</c:v>
                </c:pt>
              </c:numCache>
            </c:numRef>
          </c:val>
          <c:smooth val="0"/>
          <c:extLst>
            <c:ext xmlns:c16="http://schemas.microsoft.com/office/drawing/2014/chart" uri="{C3380CC4-5D6E-409C-BE32-E72D297353CC}">
              <c16:uniqueId val="{00000000-014B-41DB-B5C6-E5B9DCDC7A8D}"/>
            </c:ext>
          </c:extLst>
        </c:ser>
        <c:dLbls>
          <c:showLegendKey val="0"/>
          <c:showVal val="0"/>
          <c:showCatName val="0"/>
          <c:showSerName val="0"/>
          <c:showPercent val="0"/>
          <c:showBubbleSize val="0"/>
        </c:dLbls>
        <c:marker val="1"/>
        <c:smooth val="0"/>
        <c:axId val="692028800"/>
        <c:axId val="692039200"/>
      </c:lineChart>
      <c:catAx>
        <c:axId val="6920288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39200"/>
        <c:crosses val="autoZero"/>
        <c:auto val="1"/>
        <c:lblAlgn val="ctr"/>
        <c:lblOffset val="100"/>
        <c:noMultiLvlLbl val="0"/>
      </c:catAx>
      <c:valAx>
        <c:axId val="6920392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Passenger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28800"/>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Operation of Boats Per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0.12005079264733706"/>
          <c:y val="0.16619558693970121"/>
          <c:w val="0.85751139798955944"/>
          <c:h val="0.58438701478229471"/>
        </c:manualLayout>
      </c:layout>
      <c:lineChart>
        <c:grouping val="standard"/>
        <c:varyColors val="0"/>
        <c:ser>
          <c:idx val="0"/>
          <c:order val="0"/>
          <c:tx>
            <c:strRef>
              <c:f>'Boat Operations Per Time'!$B$1</c:f>
              <c:strCache>
                <c:ptCount val="1"/>
                <c:pt idx="0">
                  <c:v>arrivals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numRef>
              <c:f>'Boat Operations Per Time'!$A$2:$A$22</c:f>
              <c:numCache>
                <c:formatCode>h:mm</c:formatCode>
                <c:ptCount val="21"/>
                <c:pt idx="0">
                  <c:v>4.1666666666666664E-2</c:v>
                </c:pt>
                <c:pt idx="1">
                  <c:v>0.125</c:v>
                </c:pt>
                <c:pt idx="2">
                  <c:v>0.20833333333333334</c:v>
                </c:pt>
                <c:pt idx="3">
                  <c:v>0.29166666666666669</c:v>
                </c:pt>
                <c:pt idx="4">
                  <c:v>0.33333333333333331</c:v>
                </c:pt>
                <c:pt idx="5">
                  <c:v>0.375</c:v>
                </c:pt>
                <c:pt idx="6">
                  <c:v>0.41666666666666669</c:v>
                </c:pt>
                <c:pt idx="7">
                  <c:v>0.45833333333333331</c:v>
                </c:pt>
                <c:pt idx="8">
                  <c:v>0.5</c:v>
                </c:pt>
                <c:pt idx="9">
                  <c:v>0.54166666666666663</c:v>
                </c:pt>
                <c:pt idx="10">
                  <c:v>0.58333333333333337</c:v>
                </c:pt>
                <c:pt idx="11">
                  <c:v>0.625</c:v>
                </c:pt>
                <c:pt idx="12">
                  <c:v>0.66666666666666663</c:v>
                </c:pt>
                <c:pt idx="13">
                  <c:v>0.70833333333333337</c:v>
                </c:pt>
                <c:pt idx="14">
                  <c:v>0.75</c:v>
                </c:pt>
                <c:pt idx="15">
                  <c:v>0.79166666666666663</c:v>
                </c:pt>
                <c:pt idx="16">
                  <c:v>0.83333333333333337</c:v>
                </c:pt>
                <c:pt idx="17">
                  <c:v>0.875</c:v>
                </c:pt>
                <c:pt idx="18">
                  <c:v>0.91666666666666663</c:v>
                </c:pt>
                <c:pt idx="19">
                  <c:v>0.95833333333333337</c:v>
                </c:pt>
                <c:pt idx="20">
                  <c:v>1</c:v>
                </c:pt>
              </c:numCache>
            </c:numRef>
          </c:cat>
          <c:val>
            <c:numRef>
              <c:f>'Boat Operations Per Time'!$B$2:$B$22</c:f>
              <c:numCache>
                <c:formatCode>General</c:formatCode>
                <c:ptCount val="21"/>
                <c:pt idx="0">
                  <c:v>28</c:v>
                </c:pt>
                <c:pt idx="1">
                  <c:v>0</c:v>
                </c:pt>
                <c:pt idx="2">
                  <c:v>14</c:v>
                </c:pt>
                <c:pt idx="3">
                  <c:v>436</c:v>
                </c:pt>
                <c:pt idx="4">
                  <c:v>8645</c:v>
                </c:pt>
                <c:pt idx="5">
                  <c:v>12512</c:v>
                </c:pt>
                <c:pt idx="6">
                  <c:v>11633</c:v>
                </c:pt>
                <c:pt idx="7">
                  <c:v>8895</c:v>
                </c:pt>
                <c:pt idx="8">
                  <c:v>6509</c:v>
                </c:pt>
                <c:pt idx="9">
                  <c:v>5189</c:v>
                </c:pt>
                <c:pt idx="10">
                  <c:v>4247</c:v>
                </c:pt>
                <c:pt idx="11">
                  <c:v>4251</c:v>
                </c:pt>
                <c:pt idx="12">
                  <c:v>2962</c:v>
                </c:pt>
                <c:pt idx="13">
                  <c:v>2861</c:v>
                </c:pt>
                <c:pt idx="14">
                  <c:v>3647</c:v>
                </c:pt>
                <c:pt idx="15">
                  <c:v>2088</c:v>
                </c:pt>
                <c:pt idx="16">
                  <c:v>276</c:v>
                </c:pt>
                <c:pt idx="17">
                  <c:v>98</c:v>
                </c:pt>
                <c:pt idx="18">
                  <c:v>60</c:v>
                </c:pt>
                <c:pt idx="19">
                  <c:v>23</c:v>
                </c:pt>
                <c:pt idx="20">
                  <c:v>6</c:v>
                </c:pt>
              </c:numCache>
            </c:numRef>
          </c:val>
          <c:smooth val="0"/>
          <c:extLst>
            <c:ext xmlns:c16="http://schemas.microsoft.com/office/drawing/2014/chart" uri="{C3380CC4-5D6E-409C-BE32-E72D297353CC}">
              <c16:uniqueId val="{00000000-2A30-43B0-8D01-D7D37A3CD670}"/>
            </c:ext>
          </c:extLst>
        </c:ser>
        <c:ser>
          <c:idx val="1"/>
          <c:order val="1"/>
          <c:tx>
            <c:strRef>
              <c:f>'Boat Operations Per Time'!$C$1</c:f>
              <c:strCache>
                <c:ptCount val="1"/>
                <c:pt idx="0">
                  <c:v>departures</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numRef>
              <c:f>'Boat Operations Per Time'!$A$2:$A$22</c:f>
              <c:numCache>
                <c:formatCode>h:mm</c:formatCode>
                <c:ptCount val="21"/>
                <c:pt idx="0">
                  <c:v>4.1666666666666664E-2</c:v>
                </c:pt>
                <c:pt idx="1">
                  <c:v>0.125</c:v>
                </c:pt>
                <c:pt idx="2">
                  <c:v>0.20833333333333334</c:v>
                </c:pt>
                <c:pt idx="3">
                  <c:v>0.29166666666666669</c:v>
                </c:pt>
                <c:pt idx="4">
                  <c:v>0.33333333333333331</c:v>
                </c:pt>
                <c:pt idx="5">
                  <c:v>0.375</c:v>
                </c:pt>
                <c:pt idx="6">
                  <c:v>0.41666666666666669</c:v>
                </c:pt>
                <c:pt idx="7">
                  <c:v>0.45833333333333331</c:v>
                </c:pt>
                <c:pt idx="8">
                  <c:v>0.5</c:v>
                </c:pt>
                <c:pt idx="9">
                  <c:v>0.54166666666666663</c:v>
                </c:pt>
                <c:pt idx="10">
                  <c:v>0.58333333333333337</c:v>
                </c:pt>
                <c:pt idx="11">
                  <c:v>0.625</c:v>
                </c:pt>
                <c:pt idx="12">
                  <c:v>0.66666666666666663</c:v>
                </c:pt>
                <c:pt idx="13">
                  <c:v>0.70833333333333337</c:v>
                </c:pt>
                <c:pt idx="14">
                  <c:v>0.75</c:v>
                </c:pt>
                <c:pt idx="15">
                  <c:v>0.79166666666666663</c:v>
                </c:pt>
                <c:pt idx="16">
                  <c:v>0.83333333333333337</c:v>
                </c:pt>
                <c:pt idx="17">
                  <c:v>0.875</c:v>
                </c:pt>
                <c:pt idx="18">
                  <c:v>0.91666666666666663</c:v>
                </c:pt>
                <c:pt idx="19">
                  <c:v>0.95833333333333337</c:v>
                </c:pt>
                <c:pt idx="20">
                  <c:v>1</c:v>
                </c:pt>
              </c:numCache>
            </c:numRef>
          </c:cat>
          <c:val>
            <c:numRef>
              <c:f>'Boat Operations Per Time'!$C$2:$C$22</c:f>
              <c:numCache>
                <c:formatCode>General</c:formatCode>
                <c:ptCount val="21"/>
                <c:pt idx="0">
                  <c:v>28</c:v>
                </c:pt>
                <c:pt idx="1">
                  <c:v>1</c:v>
                </c:pt>
                <c:pt idx="2">
                  <c:v>17</c:v>
                </c:pt>
                <c:pt idx="3">
                  <c:v>742</c:v>
                </c:pt>
                <c:pt idx="4">
                  <c:v>8392</c:v>
                </c:pt>
                <c:pt idx="5">
                  <c:v>11805</c:v>
                </c:pt>
                <c:pt idx="6">
                  <c:v>9987</c:v>
                </c:pt>
                <c:pt idx="7">
                  <c:v>8079</c:v>
                </c:pt>
                <c:pt idx="8">
                  <c:v>6537</c:v>
                </c:pt>
                <c:pt idx="9">
                  <c:v>5508</c:v>
                </c:pt>
                <c:pt idx="10">
                  <c:v>4620</c:v>
                </c:pt>
                <c:pt idx="11">
                  <c:v>3997</c:v>
                </c:pt>
                <c:pt idx="12">
                  <c:v>3324</c:v>
                </c:pt>
                <c:pt idx="13">
                  <c:v>2851</c:v>
                </c:pt>
                <c:pt idx="14">
                  <c:v>2262</c:v>
                </c:pt>
                <c:pt idx="15">
                  <c:v>866</c:v>
                </c:pt>
                <c:pt idx="16">
                  <c:v>121</c:v>
                </c:pt>
                <c:pt idx="17">
                  <c:v>36</c:v>
                </c:pt>
                <c:pt idx="18">
                  <c:v>14</c:v>
                </c:pt>
                <c:pt idx="19">
                  <c:v>8</c:v>
                </c:pt>
                <c:pt idx="20">
                  <c:v>4</c:v>
                </c:pt>
              </c:numCache>
            </c:numRef>
          </c:val>
          <c:smooth val="0"/>
          <c:extLst>
            <c:ext xmlns:c16="http://schemas.microsoft.com/office/drawing/2014/chart" uri="{C3380CC4-5D6E-409C-BE32-E72D297353CC}">
              <c16:uniqueId val="{00000001-2A30-43B0-8D01-D7D37A3CD670}"/>
            </c:ext>
          </c:extLst>
        </c:ser>
        <c:dLbls>
          <c:showLegendKey val="0"/>
          <c:showVal val="0"/>
          <c:showCatName val="0"/>
          <c:showSerName val="0"/>
          <c:showPercent val="0"/>
          <c:showBubbleSize val="0"/>
        </c:dLbls>
        <c:marker val="1"/>
        <c:smooth val="0"/>
        <c:axId val="420874400"/>
        <c:axId val="420874816"/>
      </c:lineChart>
      <c:catAx>
        <c:axId val="4208744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0874816"/>
        <c:crosses val="autoZero"/>
        <c:auto val="1"/>
        <c:lblAlgn val="ctr"/>
        <c:lblOffset val="100"/>
        <c:noMultiLvlLbl val="0"/>
      </c:catAx>
      <c:valAx>
        <c:axId val="4208748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Operation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0874400"/>
        <c:crosses val="autoZero"/>
        <c:crossBetween val="between"/>
      </c:valAx>
      <c:spPr>
        <a:noFill/>
        <a:ln>
          <a:noFill/>
        </a:ln>
        <a:effectLst/>
      </c:spPr>
    </c:plotArea>
    <c:legend>
      <c:legendPos val="b"/>
      <c:layout>
        <c:manualLayout>
          <c:xMode val="edge"/>
          <c:yMode val="edge"/>
          <c:x val="0.71023392179178679"/>
          <c:y val="0.26121550212770911"/>
          <c:w val="0.28122364922620879"/>
          <c:h val="7.56152644650172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outerShdw dist="50800" dir="5880000" sx="91000" sy="91000" algn="ctr" rotWithShape="0">
        <a:srgbClr val="000000">
          <a:alpha val="47000"/>
        </a:srgbClr>
      </a:outerShdw>
    </a:effectLst>
    <a:scene3d>
      <a:camera prst="orthographicFront"/>
      <a:lightRig rig="threePt" dir="t"/>
    </a:scene3d>
    <a:sp3d>
      <a:bevelT/>
    </a:sp3d>
  </c:spPr>
  <c:txPr>
    <a:bodyPr/>
    <a:lstStyle/>
    <a:p>
      <a:pPr>
        <a:defRPr u="none"/>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passengers per Month</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'Passengers Arrival-Departure '!$C$1</c:f>
              <c:strCache>
                <c:ptCount val="1"/>
                <c:pt idx="0">
                  <c:v>total_passengers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extLst>
                <c:ext xmlns:c15="http://schemas.microsoft.com/office/drawing/2012/chart" uri="{02D57815-91ED-43cb-92C2-25804820EDAC}">
                  <c15:fullRef>
                    <c15:sqref>'Passengers Arrival-Departure '!$A$2:$B$25</c15:sqref>
                  </c15:fullRef>
                  <c15:levelRef>
                    <c15:sqref>'Passengers Arrival-Departure '!$A$2:$A$25</c15:sqref>
                  </c15:levelRef>
                </c:ext>
              </c:extLst>
              <c:f>'Passengers Arrival-Departure '!$A$2:$A$25</c:f>
              <c:strCache>
                <c:ptCount val="12"/>
                <c:pt idx="0">
                  <c:v>December </c:v>
                </c:pt>
                <c:pt idx="1">
                  <c:v>January  </c:v>
                </c:pt>
                <c:pt idx="2">
                  <c:v>February </c:v>
                </c:pt>
                <c:pt idx="3">
                  <c:v>March    </c:v>
                </c:pt>
                <c:pt idx="4">
                  <c:v>April    </c:v>
                </c:pt>
                <c:pt idx="5">
                  <c:v>May      </c:v>
                </c:pt>
                <c:pt idx="6">
                  <c:v>June     </c:v>
                </c:pt>
                <c:pt idx="7">
                  <c:v>July     </c:v>
                </c:pt>
                <c:pt idx="8">
                  <c:v>August   </c:v>
                </c:pt>
                <c:pt idx="9">
                  <c:v>September</c:v>
                </c:pt>
                <c:pt idx="10">
                  <c:v>October  </c:v>
                </c:pt>
                <c:pt idx="11">
                  <c:v>November </c:v>
                </c:pt>
              </c:strCache>
            </c:strRef>
          </c:cat>
          <c:val>
            <c:numRef>
              <c:f>'Passengers Arrival-Departure '!$C$2:$C$25</c:f>
              <c:numCache>
                <c:formatCode>General</c:formatCode>
                <c:ptCount val="12"/>
                <c:pt idx="0">
                  <c:v>56166</c:v>
                </c:pt>
                <c:pt idx="1">
                  <c:v>102068</c:v>
                </c:pt>
                <c:pt idx="2">
                  <c:v>96929</c:v>
                </c:pt>
                <c:pt idx="3">
                  <c:v>85671</c:v>
                </c:pt>
                <c:pt idx="4">
                  <c:v>86560</c:v>
                </c:pt>
                <c:pt idx="5">
                  <c:v>92873</c:v>
                </c:pt>
                <c:pt idx="6">
                  <c:v>64285</c:v>
                </c:pt>
                <c:pt idx="7">
                  <c:v>59570</c:v>
                </c:pt>
                <c:pt idx="8">
                  <c:v>61744</c:v>
                </c:pt>
                <c:pt idx="9">
                  <c:v>55909</c:v>
                </c:pt>
                <c:pt idx="10">
                  <c:v>60027</c:v>
                </c:pt>
                <c:pt idx="11">
                  <c:v>12378</c:v>
                </c:pt>
              </c:numCache>
            </c:numRef>
          </c:val>
          <c:smooth val="0"/>
          <c:extLst>
            <c:ext xmlns:c16="http://schemas.microsoft.com/office/drawing/2014/chart" uri="{C3380CC4-5D6E-409C-BE32-E72D297353CC}">
              <c16:uniqueId val="{00000000-1243-451F-AC3D-867A499FB67F}"/>
            </c:ext>
          </c:extLst>
        </c:ser>
        <c:dLbls>
          <c:showLegendKey val="0"/>
          <c:showVal val="0"/>
          <c:showCatName val="0"/>
          <c:showSerName val="0"/>
          <c:showPercent val="0"/>
          <c:showBubbleSize val="0"/>
        </c:dLbls>
        <c:marker val="1"/>
        <c:smooth val="0"/>
        <c:axId val="692028800"/>
        <c:axId val="692039200"/>
      </c:lineChart>
      <c:catAx>
        <c:axId val="69202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39200"/>
        <c:crosses val="autoZero"/>
        <c:auto val="1"/>
        <c:lblAlgn val="ctr"/>
        <c:lblOffset val="100"/>
        <c:noMultiLvlLbl val="0"/>
      </c:catAx>
      <c:valAx>
        <c:axId val="6920392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28800"/>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GB" sz="1100" b="1"/>
              <a:t>Locations</a:t>
            </a:r>
            <a:r>
              <a:rPr lang="en-GB" sz="1100" b="1" baseline="0"/>
              <a:t> with the lowest  Boat operations</a:t>
            </a:r>
            <a:endParaRPr lang="en-GB" sz="1100" b="1"/>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0.2027930655463894"/>
          <c:y val="0.15527272727272728"/>
          <c:w val="0.77664061552663588"/>
          <c:h val="0.77119891831702858"/>
        </c:manualLayout>
      </c:layout>
      <c:barChart>
        <c:barDir val="bar"/>
        <c:grouping val="clustered"/>
        <c:varyColors val="0"/>
        <c:ser>
          <c:idx val="0"/>
          <c:order val="0"/>
          <c:tx>
            <c:strRef>
              <c:f>'Operation of Boats Per Location'!$B$1</c:f>
              <c:strCache>
                <c:ptCount val="1"/>
                <c:pt idx="0">
                  <c:v>Operation Of Boats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'Operation of Boats Per Location'!$A$2:$A$11</c:f>
              <c:strCache>
                <c:ptCount val="10"/>
                <c:pt idx="0">
                  <c:v>Oko agbon</c:v>
                </c:pt>
                <c:pt idx="1">
                  <c:v>Okonudu</c:v>
                </c:pt>
                <c:pt idx="2">
                  <c:v>Outside Bar</c:v>
                </c:pt>
                <c:pt idx="3">
                  <c:v>Ijegun Egba Jetty</c:v>
                </c:pt>
                <c:pt idx="4">
                  <c:v>Takwa Bay</c:v>
                </c:pt>
                <c:pt idx="5">
                  <c:v>ABOMITI</c:v>
                </c:pt>
                <c:pt idx="6">
                  <c:v>Iwopin</c:v>
                </c:pt>
                <c:pt idx="7">
                  <c:v>Agbara</c:v>
                </c:pt>
                <c:pt idx="8">
                  <c:v>Ondo</c:v>
                </c:pt>
                <c:pt idx="9">
                  <c:v>Ajido</c:v>
                </c:pt>
              </c:strCache>
            </c:strRef>
          </c:cat>
          <c:val>
            <c:numRef>
              <c:f>'Operation of Boats Per Location'!$B$2:$B$11</c:f>
              <c:numCache>
                <c:formatCode>General</c:formatCode>
                <c:ptCount val="10"/>
                <c:pt idx="0">
                  <c:v>1</c:v>
                </c:pt>
                <c:pt idx="1">
                  <c:v>1</c:v>
                </c:pt>
                <c:pt idx="2">
                  <c:v>1</c:v>
                </c:pt>
                <c:pt idx="3">
                  <c:v>2</c:v>
                </c:pt>
                <c:pt idx="4">
                  <c:v>3</c:v>
                </c:pt>
                <c:pt idx="5">
                  <c:v>4</c:v>
                </c:pt>
                <c:pt idx="6">
                  <c:v>4</c:v>
                </c:pt>
                <c:pt idx="7">
                  <c:v>5</c:v>
                </c:pt>
                <c:pt idx="8">
                  <c:v>5</c:v>
                </c:pt>
                <c:pt idx="9">
                  <c:v>6</c:v>
                </c:pt>
              </c:numCache>
            </c:numRef>
          </c:val>
          <c:extLst>
            <c:ext xmlns:c16="http://schemas.microsoft.com/office/drawing/2014/chart" uri="{C3380CC4-5D6E-409C-BE32-E72D297353CC}">
              <c16:uniqueId val="{00000000-6B51-4FA4-8C9F-D2E388FF8B73}"/>
            </c:ext>
          </c:extLst>
        </c:ser>
        <c:dLbls>
          <c:dLblPos val="outEnd"/>
          <c:showLegendKey val="0"/>
          <c:showVal val="1"/>
          <c:showCatName val="0"/>
          <c:showSerName val="0"/>
          <c:showPercent val="0"/>
          <c:showBubbleSize val="0"/>
        </c:dLbls>
        <c:gapWidth val="182"/>
        <c:axId val="692062080"/>
        <c:axId val="692067904"/>
      </c:barChart>
      <c:catAx>
        <c:axId val="69206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67904"/>
        <c:crosses val="autoZero"/>
        <c:auto val="1"/>
        <c:lblAlgn val="ctr"/>
        <c:lblOffset val="100"/>
        <c:noMultiLvlLbl val="0"/>
      </c:catAx>
      <c:valAx>
        <c:axId val="692067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92062080"/>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Locations with the highest Boat Operations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bar"/>
        <c:grouping val="clustered"/>
        <c:varyColors val="0"/>
        <c:ser>
          <c:idx val="0"/>
          <c:order val="0"/>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'Operation of Boats Per Location'!$C$9:$C$21</c:f>
              <c:strCache>
                <c:ptCount val="13"/>
                <c:pt idx="0">
                  <c:v>Langbasa</c:v>
                </c:pt>
                <c:pt idx="1">
                  <c:v>Ebute-Ero</c:v>
                </c:pt>
                <c:pt idx="2">
                  <c:v>Igbologun</c:v>
                </c:pt>
                <c:pt idx="3">
                  <c:v>Ebute Ipakodo</c:v>
                </c:pt>
                <c:pt idx="4">
                  <c:v>Ijede</c:v>
                </c:pt>
                <c:pt idx="5">
                  <c:v>Badore</c:v>
                </c:pt>
                <c:pt idx="6">
                  <c:v>VI</c:v>
                </c:pt>
                <c:pt idx="7">
                  <c:v>Community (Eto Agan, Tomo, Igbo Ejo,)</c:v>
                </c:pt>
                <c:pt idx="8">
                  <c:v>Bayeku</c:v>
                </c:pt>
                <c:pt idx="9">
                  <c:v>Sabokoji</c:v>
                </c:pt>
                <c:pt idx="10">
                  <c:v>Oke Ira NLa/Langbasa</c:v>
                </c:pt>
                <c:pt idx="11">
                  <c:v>Others</c:v>
                </c:pt>
                <c:pt idx="12">
                  <c:v>Alex</c:v>
                </c:pt>
              </c:strCache>
            </c:strRef>
          </c:cat>
          <c:val>
            <c:numRef>
              <c:f>'Operation of Boats Per Location'!$D$9:$D$21</c:f>
              <c:numCache>
                <c:formatCode>General</c:formatCode>
                <c:ptCount val="13"/>
                <c:pt idx="0">
                  <c:v>3501</c:v>
                </c:pt>
                <c:pt idx="1">
                  <c:v>3633</c:v>
                </c:pt>
                <c:pt idx="2">
                  <c:v>4112</c:v>
                </c:pt>
                <c:pt idx="3">
                  <c:v>4122</c:v>
                </c:pt>
                <c:pt idx="4">
                  <c:v>6306</c:v>
                </c:pt>
                <c:pt idx="5">
                  <c:v>7563</c:v>
                </c:pt>
                <c:pt idx="6">
                  <c:v>7658</c:v>
                </c:pt>
                <c:pt idx="7">
                  <c:v>8195</c:v>
                </c:pt>
                <c:pt idx="8">
                  <c:v>10884</c:v>
                </c:pt>
                <c:pt idx="9">
                  <c:v>11962</c:v>
                </c:pt>
                <c:pt idx="10">
                  <c:v>12099</c:v>
                </c:pt>
                <c:pt idx="11">
                  <c:v>14227</c:v>
                </c:pt>
                <c:pt idx="12">
                  <c:v>15097</c:v>
                </c:pt>
              </c:numCache>
            </c:numRef>
          </c:val>
          <c:extLst>
            <c:ext xmlns:c16="http://schemas.microsoft.com/office/drawing/2014/chart" uri="{C3380CC4-5D6E-409C-BE32-E72D297353CC}">
              <c16:uniqueId val="{00000000-0E79-4355-8DBD-B3BFAA21B383}"/>
            </c:ext>
          </c:extLst>
        </c:ser>
        <c:dLbls>
          <c:showLegendKey val="0"/>
          <c:showVal val="1"/>
          <c:showCatName val="0"/>
          <c:showSerName val="0"/>
          <c:showPercent val="0"/>
          <c:showBubbleSize val="0"/>
        </c:dLbls>
        <c:gapWidth val="182"/>
        <c:axId val="422286768"/>
        <c:axId val="422283440"/>
      </c:barChart>
      <c:catAx>
        <c:axId val="422286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2283440"/>
        <c:crosses val="autoZero"/>
        <c:auto val="1"/>
        <c:lblAlgn val="ctr"/>
        <c:lblOffset val="100"/>
        <c:noMultiLvlLbl val="0"/>
      </c:catAx>
      <c:valAx>
        <c:axId val="42228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228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Total</a:t>
            </a:r>
            <a:r>
              <a:rPr lang="en-US" sz="1200" b="1" baseline="0"/>
              <a:t> </a:t>
            </a:r>
            <a:r>
              <a:rPr lang="en-US" sz="1200" b="1"/>
              <a:t>arrival of</a:t>
            </a:r>
            <a:r>
              <a:rPr lang="en-US" sz="1200" b="1" baseline="0"/>
              <a:t> Boat Per Month</a:t>
            </a:r>
            <a:endParaRPr lang="en-US" sz="1200" b="1"/>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'Total arrival and departure'!$B$1</c:f>
              <c:strCache>
                <c:ptCount val="1"/>
                <c:pt idx="0">
                  <c:v>total_arrivals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f>'Total arrival and departure'!$A$2:$A$13</c:f>
              <c:strCache>
                <c:ptCount val="12"/>
                <c:pt idx="0">
                  <c:v>December </c:v>
                </c:pt>
                <c:pt idx="1">
                  <c:v>January  </c:v>
                </c:pt>
                <c:pt idx="2">
                  <c:v>February </c:v>
                </c:pt>
                <c:pt idx="3">
                  <c:v>March    </c:v>
                </c:pt>
                <c:pt idx="4">
                  <c:v>April    </c:v>
                </c:pt>
                <c:pt idx="5">
                  <c:v>May      </c:v>
                </c:pt>
                <c:pt idx="6">
                  <c:v>June     </c:v>
                </c:pt>
                <c:pt idx="7">
                  <c:v>July     </c:v>
                </c:pt>
                <c:pt idx="8">
                  <c:v>August   </c:v>
                </c:pt>
                <c:pt idx="9">
                  <c:v>September</c:v>
                </c:pt>
                <c:pt idx="10">
                  <c:v>October  </c:v>
                </c:pt>
                <c:pt idx="11">
                  <c:v>November </c:v>
                </c:pt>
              </c:strCache>
            </c:strRef>
          </c:cat>
          <c:val>
            <c:numRef>
              <c:f>'Total arrival and departure'!$B$2:$B$13</c:f>
              <c:numCache>
                <c:formatCode>General</c:formatCode>
                <c:ptCount val="12"/>
                <c:pt idx="0">
                  <c:v>6397</c:v>
                </c:pt>
                <c:pt idx="1">
                  <c:v>9514</c:v>
                </c:pt>
                <c:pt idx="2">
                  <c:v>8791</c:v>
                </c:pt>
                <c:pt idx="3">
                  <c:v>8271</c:v>
                </c:pt>
                <c:pt idx="4">
                  <c:v>7862</c:v>
                </c:pt>
                <c:pt idx="5">
                  <c:v>6612</c:v>
                </c:pt>
                <c:pt idx="6">
                  <c:v>5766</c:v>
                </c:pt>
                <c:pt idx="7">
                  <c:v>4886</c:v>
                </c:pt>
                <c:pt idx="8">
                  <c:v>5554</c:v>
                </c:pt>
                <c:pt idx="9">
                  <c:v>4380</c:v>
                </c:pt>
                <c:pt idx="10">
                  <c:v>4970</c:v>
                </c:pt>
                <c:pt idx="11">
                  <c:v>929</c:v>
                </c:pt>
              </c:numCache>
            </c:numRef>
          </c:val>
          <c:smooth val="0"/>
          <c:extLst>
            <c:ext xmlns:c16="http://schemas.microsoft.com/office/drawing/2014/chart" uri="{C3380CC4-5D6E-409C-BE32-E72D297353CC}">
              <c16:uniqueId val="{00000000-05B5-4A63-AB33-26B59B3723D3}"/>
            </c:ext>
          </c:extLst>
        </c:ser>
        <c:dLbls>
          <c:showLegendKey val="0"/>
          <c:showVal val="0"/>
          <c:showCatName val="0"/>
          <c:showSerName val="0"/>
          <c:showPercent val="0"/>
          <c:showBubbleSize val="0"/>
        </c:dLbls>
        <c:marker val="1"/>
        <c:smooth val="0"/>
        <c:axId val="191859216"/>
        <c:axId val="191857968"/>
      </c:lineChart>
      <c:catAx>
        <c:axId val="191859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91857968"/>
        <c:crosses val="autoZero"/>
        <c:auto val="1"/>
        <c:lblAlgn val="ctr"/>
        <c:lblOffset val="100"/>
        <c:noMultiLvlLbl val="0"/>
      </c:catAx>
      <c:valAx>
        <c:axId val="191857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 Departure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91859216"/>
        <c:crosses val="autoZero"/>
        <c:crossBetween val="between"/>
      </c:valAx>
      <c:spPr>
        <a:noFill/>
        <a:ln>
          <a:noFill/>
        </a:ln>
        <a:effectLst/>
      </c:spPr>
    </c:plotArea>
    <c:plotVisOnly val="1"/>
    <c:dispBlanksAs val="gap"/>
    <c:showDLblsOverMax val="0"/>
  </c:chart>
  <c:spPr>
    <a:solidFill>
      <a:schemeClr val="accent1">
        <a:lumMod val="20000"/>
        <a:lumOff val="80000"/>
      </a:schemeClr>
    </a:solidFill>
    <a:ln w="9525" cap="flat" cmpd="sng" algn="ctr">
      <a:solidFill>
        <a:schemeClr val="tx1">
          <a:lumMod val="15000"/>
          <a:lumOff val="85000"/>
        </a:schemeClr>
      </a:solidFill>
      <a:round/>
    </a:ln>
    <a:effectLst>
      <a:outerShdw dist="50800" dir="5400000" sx="99000" sy="99000" algn="ctr" rotWithShape="0">
        <a:srgbClr val="000000">
          <a:alpha val="47000"/>
        </a:srgbClr>
      </a:outerShdw>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Total Depature of Boats</a:t>
            </a:r>
            <a:r>
              <a:rPr lang="en-US" sz="1200" b="1" baseline="0"/>
              <a:t> Per Month</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'Total arrival and departure'!$L$1</c:f>
              <c:strCache>
                <c:ptCount val="1"/>
                <c:pt idx="0">
                  <c:v>total_departures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strRef>
              <c:f>'Total arrival and departure'!$K$2:$K$13</c:f>
              <c:strCache>
                <c:ptCount val="12"/>
                <c:pt idx="0">
                  <c:v>December </c:v>
                </c:pt>
                <c:pt idx="1">
                  <c:v>January  </c:v>
                </c:pt>
                <c:pt idx="2">
                  <c:v>February </c:v>
                </c:pt>
                <c:pt idx="3">
                  <c:v>March    </c:v>
                </c:pt>
                <c:pt idx="4">
                  <c:v>April    </c:v>
                </c:pt>
                <c:pt idx="5">
                  <c:v>May      </c:v>
                </c:pt>
                <c:pt idx="6">
                  <c:v>June     </c:v>
                </c:pt>
                <c:pt idx="7">
                  <c:v>July     </c:v>
                </c:pt>
                <c:pt idx="8">
                  <c:v>August   </c:v>
                </c:pt>
                <c:pt idx="9">
                  <c:v>September</c:v>
                </c:pt>
                <c:pt idx="10">
                  <c:v>October  </c:v>
                </c:pt>
                <c:pt idx="11">
                  <c:v>November </c:v>
                </c:pt>
              </c:strCache>
            </c:strRef>
          </c:cat>
          <c:val>
            <c:numRef>
              <c:f>'Total arrival and departure'!$L$2:$L$13</c:f>
              <c:numCache>
                <c:formatCode>General</c:formatCode>
                <c:ptCount val="12"/>
                <c:pt idx="0">
                  <c:v>5302</c:v>
                </c:pt>
                <c:pt idx="1">
                  <c:v>8433</c:v>
                </c:pt>
                <c:pt idx="2">
                  <c:v>8255</c:v>
                </c:pt>
                <c:pt idx="3">
                  <c:v>7377</c:v>
                </c:pt>
                <c:pt idx="4">
                  <c:v>7031</c:v>
                </c:pt>
                <c:pt idx="5">
                  <c:v>6915</c:v>
                </c:pt>
                <c:pt idx="6">
                  <c:v>5070</c:v>
                </c:pt>
                <c:pt idx="7">
                  <c:v>4829</c:v>
                </c:pt>
                <c:pt idx="8">
                  <c:v>5271</c:v>
                </c:pt>
                <c:pt idx="9">
                  <c:v>4492</c:v>
                </c:pt>
                <c:pt idx="10">
                  <c:v>4797</c:v>
                </c:pt>
                <c:pt idx="11">
                  <c:v>1008</c:v>
                </c:pt>
              </c:numCache>
            </c:numRef>
          </c:val>
          <c:smooth val="0"/>
          <c:extLst>
            <c:ext xmlns:c16="http://schemas.microsoft.com/office/drawing/2014/chart" uri="{C3380CC4-5D6E-409C-BE32-E72D297353CC}">
              <c16:uniqueId val="{00000000-1E6D-40CC-A21D-1CC94EBB8A99}"/>
            </c:ext>
          </c:extLst>
        </c:ser>
        <c:dLbls>
          <c:showLegendKey val="0"/>
          <c:showVal val="0"/>
          <c:showCatName val="0"/>
          <c:showSerName val="0"/>
          <c:showPercent val="0"/>
          <c:showBubbleSize val="0"/>
        </c:dLbls>
        <c:marker val="1"/>
        <c:smooth val="0"/>
        <c:axId val="187414912"/>
        <c:axId val="187419904"/>
      </c:lineChart>
      <c:catAx>
        <c:axId val="187414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87419904"/>
        <c:crosses val="autoZero"/>
        <c:auto val="1"/>
        <c:lblAlgn val="ctr"/>
        <c:lblOffset val="100"/>
        <c:noMultiLvlLbl val="0"/>
      </c:catAx>
      <c:valAx>
        <c:axId val="1874199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 Departure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LID4096"/>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87414912"/>
        <c:crosses val="autoZero"/>
        <c:crossBetween val="between"/>
      </c:valAx>
      <c:spPr>
        <a:noFill/>
        <a:ln>
          <a:noFill/>
        </a:ln>
        <a:effectLst/>
      </c:spPr>
    </c:plotArea>
    <c:plotVisOnly val="1"/>
    <c:dispBlanksAs val="gap"/>
    <c:showDLblsOverMax val="0"/>
  </c:chart>
  <c:spPr>
    <a:solidFill>
      <a:schemeClr val="accent1">
        <a:lumMod val="20000"/>
        <a:lumOff val="80000"/>
      </a:schemeClr>
    </a:solidFill>
    <a:ln w="9525" cap="flat" cmpd="sng" algn="ctr">
      <a:solidFill>
        <a:schemeClr val="tx1">
          <a:lumMod val="15000"/>
          <a:lumOff val="85000"/>
        </a:schemeClr>
      </a:solidFill>
      <a:round/>
    </a:ln>
    <a:effectLst>
      <a:outerShdw dist="50800" dir="5460000" sx="99000" sy="99000" algn="ctr" rotWithShape="0">
        <a:srgbClr val="000000">
          <a:alpha val="47000"/>
        </a:srgbClr>
      </a:outerShdw>
    </a:effectLst>
    <a:scene3d>
      <a:camera prst="orthographicFront"/>
      <a:lightRig rig="threePt" dir="t"/>
    </a:scene3d>
    <a:sp3d>
      <a:bevelT/>
    </a:sp3d>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Operation of Boats Per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'Boat Operations Per Time'!$B$1</c:f>
              <c:strCache>
                <c:ptCount val="1"/>
                <c:pt idx="0">
                  <c:v>arrivals</c:v>
                </c:pt>
              </c:strCache>
            </c:strRef>
          </c:tx>
          <c:spPr>
            <a:ln w="28575" cap="rnd">
              <a:solidFill>
                <a:srgbClr val="002060"/>
              </a:solidFill>
              <a:round/>
            </a:ln>
            <a:effectLst/>
          </c:spPr>
          <c:marker>
            <c:symbol val="circle"/>
            <c:size val="5"/>
            <c:spPr>
              <a:solidFill>
                <a:srgbClr val="002060"/>
              </a:solidFill>
              <a:ln w="9525">
                <a:solidFill>
                  <a:srgbClr val="002060"/>
                </a:solidFill>
              </a:ln>
              <a:effectLst/>
            </c:spPr>
          </c:marker>
          <c:cat>
            <c:numRef>
              <c:f>'Boat Operations Per Time'!$A$2:$A$22</c:f>
              <c:numCache>
                <c:formatCode>h:mm</c:formatCode>
                <c:ptCount val="21"/>
                <c:pt idx="0">
                  <c:v>4.1666666666666664E-2</c:v>
                </c:pt>
                <c:pt idx="1">
                  <c:v>0.125</c:v>
                </c:pt>
                <c:pt idx="2">
                  <c:v>0.20833333333333334</c:v>
                </c:pt>
                <c:pt idx="3">
                  <c:v>0.29166666666666669</c:v>
                </c:pt>
                <c:pt idx="4">
                  <c:v>0.33333333333333331</c:v>
                </c:pt>
                <c:pt idx="5">
                  <c:v>0.375</c:v>
                </c:pt>
                <c:pt idx="6">
                  <c:v>0.41666666666666669</c:v>
                </c:pt>
                <c:pt idx="7">
                  <c:v>0.45833333333333331</c:v>
                </c:pt>
                <c:pt idx="8">
                  <c:v>0.5</c:v>
                </c:pt>
                <c:pt idx="9">
                  <c:v>0.54166666666666663</c:v>
                </c:pt>
                <c:pt idx="10">
                  <c:v>0.58333333333333337</c:v>
                </c:pt>
                <c:pt idx="11">
                  <c:v>0.625</c:v>
                </c:pt>
                <c:pt idx="12">
                  <c:v>0.66666666666666663</c:v>
                </c:pt>
                <c:pt idx="13">
                  <c:v>0.70833333333333337</c:v>
                </c:pt>
                <c:pt idx="14">
                  <c:v>0.75</c:v>
                </c:pt>
                <c:pt idx="15">
                  <c:v>0.79166666666666663</c:v>
                </c:pt>
                <c:pt idx="16">
                  <c:v>0.83333333333333337</c:v>
                </c:pt>
                <c:pt idx="17">
                  <c:v>0.875</c:v>
                </c:pt>
                <c:pt idx="18">
                  <c:v>0.91666666666666663</c:v>
                </c:pt>
                <c:pt idx="19">
                  <c:v>0.95833333333333337</c:v>
                </c:pt>
                <c:pt idx="20">
                  <c:v>1</c:v>
                </c:pt>
              </c:numCache>
            </c:numRef>
          </c:cat>
          <c:val>
            <c:numRef>
              <c:f>'Boat Operations Per Time'!$B$2:$B$22</c:f>
              <c:numCache>
                <c:formatCode>General</c:formatCode>
                <c:ptCount val="21"/>
                <c:pt idx="0">
                  <c:v>28</c:v>
                </c:pt>
                <c:pt idx="1">
                  <c:v>0</c:v>
                </c:pt>
                <c:pt idx="2">
                  <c:v>14</c:v>
                </c:pt>
                <c:pt idx="3">
                  <c:v>436</c:v>
                </c:pt>
                <c:pt idx="4">
                  <c:v>8645</c:v>
                </c:pt>
                <c:pt idx="5">
                  <c:v>12512</c:v>
                </c:pt>
                <c:pt idx="6">
                  <c:v>11633</c:v>
                </c:pt>
                <c:pt idx="7">
                  <c:v>8895</c:v>
                </c:pt>
                <c:pt idx="8">
                  <c:v>6509</c:v>
                </c:pt>
                <c:pt idx="9">
                  <c:v>5189</c:v>
                </c:pt>
                <c:pt idx="10">
                  <c:v>4247</c:v>
                </c:pt>
                <c:pt idx="11">
                  <c:v>4251</c:v>
                </c:pt>
                <c:pt idx="12">
                  <c:v>2962</c:v>
                </c:pt>
                <c:pt idx="13">
                  <c:v>2861</c:v>
                </c:pt>
                <c:pt idx="14">
                  <c:v>3647</c:v>
                </c:pt>
                <c:pt idx="15">
                  <c:v>2088</c:v>
                </c:pt>
                <c:pt idx="16">
                  <c:v>276</c:v>
                </c:pt>
                <c:pt idx="17">
                  <c:v>98</c:v>
                </c:pt>
                <c:pt idx="18">
                  <c:v>60</c:v>
                </c:pt>
                <c:pt idx="19">
                  <c:v>23</c:v>
                </c:pt>
                <c:pt idx="20">
                  <c:v>6</c:v>
                </c:pt>
              </c:numCache>
            </c:numRef>
          </c:val>
          <c:smooth val="0"/>
          <c:extLst>
            <c:ext xmlns:c16="http://schemas.microsoft.com/office/drawing/2014/chart" uri="{C3380CC4-5D6E-409C-BE32-E72D297353CC}">
              <c16:uniqueId val="{00000000-8BA4-46DD-9B5C-FE8AE435D66A}"/>
            </c:ext>
          </c:extLst>
        </c:ser>
        <c:ser>
          <c:idx val="1"/>
          <c:order val="1"/>
          <c:tx>
            <c:strRef>
              <c:f>'Boat Operations Per Time'!$C$1</c:f>
              <c:strCache>
                <c:ptCount val="1"/>
                <c:pt idx="0">
                  <c:v>departures</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numRef>
              <c:f>'Boat Operations Per Time'!$A$2:$A$22</c:f>
              <c:numCache>
                <c:formatCode>h:mm</c:formatCode>
                <c:ptCount val="21"/>
                <c:pt idx="0">
                  <c:v>4.1666666666666664E-2</c:v>
                </c:pt>
                <c:pt idx="1">
                  <c:v>0.125</c:v>
                </c:pt>
                <c:pt idx="2">
                  <c:v>0.20833333333333334</c:v>
                </c:pt>
                <c:pt idx="3">
                  <c:v>0.29166666666666669</c:v>
                </c:pt>
                <c:pt idx="4">
                  <c:v>0.33333333333333331</c:v>
                </c:pt>
                <c:pt idx="5">
                  <c:v>0.375</c:v>
                </c:pt>
                <c:pt idx="6">
                  <c:v>0.41666666666666669</c:v>
                </c:pt>
                <c:pt idx="7">
                  <c:v>0.45833333333333331</c:v>
                </c:pt>
                <c:pt idx="8">
                  <c:v>0.5</c:v>
                </c:pt>
                <c:pt idx="9">
                  <c:v>0.54166666666666663</c:v>
                </c:pt>
                <c:pt idx="10">
                  <c:v>0.58333333333333337</c:v>
                </c:pt>
                <c:pt idx="11">
                  <c:v>0.625</c:v>
                </c:pt>
                <c:pt idx="12">
                  <c:v>0.66666666666666663</c:v>
                </c:pt>
                <c:pt idx="13">
                  <c:v>0.70833333333333337</c:v>
                </c:pt>
                <c:pt idx="14">
                  <c:v>0.75</c:v>
                </c:pt>
                <c:pt idx="15">
                  <c:v>0.79166666666666663</c:v>
                </c:pt>
                <c:pt idx="16">
                  <c:v>0.83333333333333337</c:v>
                </c:pt>
                <c:pt idx="17">
                  <c:v>0.875</c:v>
                </c:pt>
                <c:pt idx="18">
                  <c:v>0.91666666666666663</c:v>
                </c:pt>
                <c:pt idx="19">
                  <c:v>0.95833333333333337</c:v>
                </c:pt>
                <c:pt idx="20">
                  <c:v>1</c:v>
                </c:pt>
              </c:numCache>
            </c:numRef>
          </c:cat>
          <c:val>
            <c:numRef>
              <c:f>'Boat Operations Per Time'!$C$2:$C$22</c:f>
              <c:numCache>
                <c:formatCode>General</c:formatCode>
                <c:ptCount val="21"/>
                <c:pt idx="0">
                  <c:v>28</c:v>
                </c:pt>
                <c:pt idx="1">
                  <c:v>1</c:v>
                </c:pt>
                <c:pt idx="2">
                  <c:v>17</c:v>
                </c:pt>
                <c:pt idx="3">
                  <c:v>742</c:v>
                </c:pt>
                <c:pt idx="4">
                  <c:v>8392</c:v>
                </c:pt>
                <c:pt idx="5">
                  <c:v>11805</c:v>
                </c:pt>
                <c:pt idx="6">
                  <c:v>9987</c:v>
                </c:pt>
                <c:pt idx="7">
                  <c:v>8079</c:v>
                </c:pt>
                <c:pt idx="8">
                  <c:v>6537</c:v>
                </c:pt>
                <c:pt idx="9">
                  <c:v>5508</c:v>
                </c:pt>
                <c:pt idx="10">
                  <c:v>4620</c:v>
                </c:pt>
                <c:pt idx="11">
                  <c:v>3997</c:v>
                </c:pt>
                <c:pt idx="12">
                  <c:v>3324</c:v>
                </c:pt>
                <c:pt idx="13">
                  <c:v>2851</c:v>
                </c:pt>
                <c:pt idx="14">
                  <c:v>2262</c:v>
                </c:pt>
                <c:pt idx="15">
                  <c:v>866</c:v>
                </c:pt>
                <c:pt idx="16">
                  <c:v>121</c:v>
                </c:pt>
                <c:pt idx="17">
                  <c:v>36</c:v>
                </c:pt>
                <c:pt idx="18">
                  <c:v>14</c:v>
                </c:pt>
                <c:pt idx="19">
                  <c:v>8</c:v>
                </c:pt>
                <c:pt idx="20">
                  <c:v>4</c:v>
                </c:pt>
              </c:numCache>
            </c:numRef>
          </c:val>
          <c:smooth val="0"/>
          <c:extLst>
            <c:ext xmlns:c16="http://schemas.microsoft.com/office/drawing/2014/chart" uri="{C3380CC4-5D6E-409C-BE32-E72D297353CC}">
              <c16:uniqueId val="{00000001-8BA4-46DD-9B5C-FE8AE435D66A}"/>
            </c:ext>
          </c:extLst>
        </c:ser>
        <c:dLbls>
          <c:showLegendKey val="0"/>
          <c:showVal val="0"/>
          <c:showCatName val="0"/>
          <c:showSerName val="0"/>
          <c:showPercent val="0"/>
          <c:showBubbleSize val="0"/>
        </c:dLbls>
        <c:marker val="1"/>
        <c:smooth val="0"/>
        <c:axId val="420874400"/>
        <c:axId val="420874816"/>
      </c:lineChart>
      <c:catAx>
        <c:axId val="420874400"/>
        <c:scaling>
          <c:orientation val="minMax"/>
        </c:scaling>
        <c:delete val="0"/>
        <c:axPos val="b"/>
        <c:numFmt formatCode="h: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0874816"/>
        <c:crosses val="autoZero"/>
        <c:auto val="1"/>
        <c:lblAlgn val="ctr"/>
        <c:lblOffset val="100"/>
        <c:noMultiLvlLbl val="0"/>
      </c:catAx>
      <c:valAx>
        <c:axId val="420874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2087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legend>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a:outerShdw dist="50800" dir="5880000" sx="91000" sy="91000" algn="ctr" rotWithShape="0">
        <a:srgbClr val="000000">
          <a:alpha val="47000"/>
        </a:srgbClr>
      </a:outerShdw>
    </a:effectLst>
    <a:scene3d>
      <a:camera prst="orthographicFront"/>
      <a:lightRig rig="threePt" dir="t"/>
    </a:scene3d>
    <a:sp3d>
      <a:bevelT/>
    </a:sp3d>
  </c:spPr>
  <c:txPr>
    <a:bodyPr/>
    <a:lstStyle/>
    <a:p>
      <a:pPr>
        <a:defRPr u="none"/>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288716</xdr:colOff>
      <xdr:row>3</xdr:row>
      <xdr:rowOff>44072</xdr:rowOff>
    </xdr:from>
    <xdr:to>
      <xdr:col>5</xdr:col>
      <xdr:colOff>235376</xdr:colOff>
      <xdr:row>6</xdr:row>
      <xdr:rowOff>150752</xdr:rowOff>
    </xdr:to>
    <xdr:sp macro="" textlink="">
      <xdr:nvSpPr>
        <xdr:cNvPr id="9" name="Rectangle: Rounded Corners 8">
          <a:extLst>
            <a:ext uri="{FF2B5EF4-FFF2-40B4-BE49-F238E27FC236}">
              <a16:creationId xmlns:a16="http://schemas.microsoft.com/office/drawing/2014/main" id="{2279AD11-7ED8-4A5C-A8A1-8BD5B6B7D255}"/>
            </a:ext>
          </a:extLst>
        </xdr:cNvPr>
        <xdr:cNvSpPr/>
      </xdr:nvSpPr>
      <xdr:spPr>
        <a:xfrm>
          <a:off x="1515350" y="601633"/>
          <a:ext cx="1786611" cy="664241"/>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Total</a:t>
          </a:r>
          <a:r>
            <a:rPr lang="en-US" sz="1100" b="1" baseline="0">
              <a:solidFill>
                <a:schemeClr val="bg1"/>
              </a:solidFill>
            </a:rPr>
            <a:t> Passengers</a:t>
          </a:r>
        </a:p>
        <a:p>
          <a:pPr algn="ctr"/>
          <a:r>
            <a:rPr lang="en-US" sz="2000" b="1" baseline="0">
              <a:solidFill>
                <a:schemeClr val="bg1"/>
              </a:solidFill>
              <a:effectLst/>
              <a:latin typeface="+mn-lt"/>
              <a:ea typeface="+mn-ea"/>
              <a:cs typeface="+mn-cs"/>
            </a:rPr>
            <a:t>1,575,086</a:t>
          </a:r>
        </a:p>
        <a:p>
          <a:pPr algn="ctr"/>
          <a:r>
            <a:rPr lang="en-NG" sz="1100">
              <a:solidFill>
                <a:schemeClr val="lt1"/>
              </a:solidFill>
              <a:effectLst/>
              <a:latin typeface="+mn-lt"/>
              <a:ea typeface="+mn-ea"/>
              <a:cs typeface="+mn-cs"/>
            </a:rPr>
            <a:t> </a:t>
          </a:r>
          <a:endParaRPr lang="en-NG" sz="2400">
            <a:effectLst/>
          </a:endParaRPr>
        </a:p>
        <a:p>
          <a:pPr algn="ctr"/>
          <a:endParaRPr lang="LID4096" sz="2400">
            <a:solidFill>
              <a:schemeClr val="bg1"/>
            </a:solidFill>
          </a:endParaRPr>
        </a:p>
      </xdr:txBody>
    </xdr:sp>
    <xdr:clientData/>
  </xdr:twoCellAnchor>
  <xdr:twoCellAnchor>
    <xdr:from>
      <xdr:col>0</xdr:col>
      <xdr:colOff>0</xdr:colOff>
      <xdr:row>0</xdr:row>
      <xdr:rowOff>15240</xdr:rowOff>
    </xdr:from>
    <xdr:to>
      <xdr:col>22</xdr:col>
      <xdr:colOff>517769</xdr:colOff>
      <xdr:row>2</xdr:row>
      <xdr:rowOff>99060</xdr:rowOff>
    </xdr:to>
    <xdr:sp macro="" textlink="">
      <xdr:nvSpPr>
        <xdr:cNvPr id="2" name="Rectangle 1">
          <a:extLst>
            <a:ext uri="{FF2B5EF4-FFF2-40B4-BE49-F238E27FC236}">
              <a16:creationId xmlns:a16="http://schemas.microsoft.com/office/drawing/2014/main" id="{906BA865-12E3-4D21-AC5F-05D90A8CEBB5}"/>
            </a:ext>
          </a:extLst>
        </xdr:cNvPr>
        <xdr:cNvSpPr/>
      </xdr:nvSpPr>
      <xdr:spPr>
        <a:xfrm>
          <a:off x="0" y="15240"/>
          <a:ext cx="14010745" cy="455527"/>
        </a:xfrm>
        <a:prstGeom prst="rect">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Bahnschrift SemiBold" panose="020B0502040204020203" pitchFamily="34" charset="0"/>
            </a:rPr>
            <a:t>Jetty</a:t>
          </a:r>
          <a:r>
            <a:rPr lang="en-US" sz="2400" baseline="0">
              <a:latin typeface="Bahnschrift SemiBold" panose="020B0502040204020203" pitchFamily="34" charset="0"/>
            </a:rPr>
            <a:t> Dashboard</a:t>
          </a:r>
          <a:endParaRPr lang="LID4096" sz="2400">
            <a:latin typeface="Bahnschrift SemiBold" panose="020B0502040204020203" pitchFamily="34" charset="0"/>
          </a:endParaRPr>
        </a:p>
      </xdr:txBody>
    </xdr:sp>
    <xdr:clientData/>
  </xdr:twoCellAnchor>
  <xdr:twoCellAnchor>
    <xdr:from>
      <xdr:col>10</xdr:col>
      <xdr:colOff>94356</xdr:colOff>
      <xdr:row>22</xdr:row>
      <xdr:rowOff>172987</xdr:rowOff>
    </xdr:from>
    <xdr:to>
      <xdr:col>16</xdr:col>
      <xdr:colOff>464634</xdr:colOff>
      <xdr:row>37</xdr:row>
      <xdr:rowOff>182753</xdr:rowOff>
    </xdr:to>
    <xdr:graphicFrame macro="">
      <xdr:nvGraphicFramePr>
        <xdr:cNvPr id="3" name="Chart 2">
          <a:extLst>
            <a:ext uri="{FF2B5EF4-FFF2-40B4-BE49-F238E27FC236}">
              <a16:creationId xmlns:a16="http://schemas.microsoft.com/office/drawing/2014/main" id="{739A0A6B-78D7-499E-9B24-34B135137D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557560</xdr:colOff>
      <xdr:row>23</xdr:row>
      <xdr:rowOff>5241</xdr:rowOff>
    </xdr:from>
    <xdr:to>
      <xdr:col>23</xdr:col>
      <xdr:colOff>306657</xdr:colOff>
      <xdr:row>37</xdr:row>
      <xdr:rowOff>152018</xdr:rowOff>
    </xdr:to>
    <xdr:graphicFrame macro="">
      <xdr:nvGraphicFramePr>
        <xdr:cNvPr id="5" name="Chart 4">
          <a:extLst>
            <a:ext uri="{FF2B5EF4-FFF2-40B4-BE49-F238E27FC236}">
              <a16:creationId xmlns:a16="http://schemas.microsoft.com/office/drawing/2014/main" id="{1484869E-999E-4C0E-9390-A97F7F88B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552157</xdr:colOff>
      <xdr:row>3</xdr:row>
      <xdr:rowOff>44549</xdr:rowOff>
    </xdr:from>
    <xdr:to>
      <xdr:col>8</xdr:col>
      <xdr:colOff>605498</xdr:colOff>
      <xdr:row>6</xdr:row>
      <xdr:rowOff>151229</xdr:rowOff>
    </xdr:to>
    <xdr:sp macro="" textlink="">
      <xdr:nvSpPr>
        <xdr:cNvPr id="10" name="Rectangle: Rounded Corners 9">
          <a:extLst>
            <a:ext uri="{FF2B5EF4-FFF2-40B4-BE49-F238E27FC236}">
              <a16:creationId xmlns:a16="http://schemas.microsoft.com/office/drawing/2014/main" id="{D3E6A381-752B-4F59-868E-635853D093F6}"/>
            </a:ext>
          </a:extLst>
        </xdr:cNvPr>
        <xdr:cNvSpPr/>
      </xdr:nvSpPr>
      <xdr:spPr>
        <a:xfrm>
          <a:off x="3580619" y="601395"/>
          <a:ext cx="1870417" cy="66352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050" b="1">
              <a:solidFill>
                <a:schemeClr val="bg1"/>
              </a:solidFill>
            </a:rPr>
            <a:t>Average Operation of Boats</a:t>
          </a:r>
          <a:endParaRPr lang="en-US" sz="1050" b="1" baseline="0">
            <a:solidFill>
              <a:schemeClr val="bg1"/>
            </a:solidFill>
          </a:endParaRPr>
        </a:p>
        <a:p>
          <a:pPr algn="ctr"/>
          <a:r>
            <a:rPr lang="en-US" sz="2000" b="1" baseline="0">
              <a:solidFill>
                <a:schemeClr val="bg1"/>
              </a:solidFill>
              <a:effectLst/>
              <a:latin typeface="+mn-lt"/>
              <a:ea typeface="+mn-ea"/>
              <a:cs typeface="+mn-cs"/>
            </a:rPr>
            <a:t>11,893</a:t>
          </a:r>
        </a:p>
        <a:p>
          <a:pPr algn="ctr"/>
          <a:r>
            <a:rPr lang="en-NG" sz="1100">
              <a:solidFill>
                <a:schemeClr val="lt1"/>
              </a:solidFill>
              <a:effectLst/>
              <a:latin typeface="+mn-lt"/>
              <a:ea typeface="+mn-ea"/>
              <a:cs typeface="+mn-cs"/>
            </a:rPr>
            <a:t> </a:t>
          </a:r>
          <a:endParaRPr lang="en-NG" sz="2400">
            <a:effectLst/>
          </a:endParaRPr>
        </a:p>
        <a:p>
          <a:pPr algn="ctr"/>
          <a:endParaRPr lang="LID4096" sz="2400">
            <a:solidFill>
              <a:schemeClr val="bg1"/>
            </a:solidFill>
          </a:endParaRPr>
        </a:p>
      </xdr:txBody>
    </xdr:sp>
    <xdr:clientData/>
  </xdr:twoCellAnchor>
  <xdr:twoCellAnchor>
    <xdr:from>
      <xdr:col>9</xdr:col>
      <xdr:colOff>463843</xdr:colOff>
      <xdr:row>3</xdr:row>
      <xdr:rowOff>69557</xdr:rowOff>
    </xdr:from>
    <xdr:to>
      <xdr:col>12</xdr:col>
      <xdr:colOff>322971</xdr:colOff>
      <xdr:row>6</xdr:row>
      <xdr:rowOff>160997</xdr:rowOff>
    </xdr:to>
    <xdr:sp macro="" textlink="">
      <xdr:nvSpPr>
        <xdr:cNvPr id="11" name="Rectangle: Rounded Corners 10">
          <a:extLst>
            <a:ext uri="{FF2B5EF4-FFF2-40B4-BE49-F238E27FC236}">
              <a16:creationId xmlns:a16="http://schemas.microsoft.com/office/drawing/2014/main" id="{F971EE3D-07A7-4BBF-AE19-BF712DA7D086}"/>
            </a:ext>
          </a:extLst>
        </xdr:cNvPr>
        <xdr:cNvSpPr/>
      </xdr:nvSpPr>
      <xdr:spPr>
        <a:xfrm>
          <a:off x="5915074" y="626403"/>
          <a:ext cx="1676205" cy="64828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Total</a:t>
          </a:r>
          <a:r>
            <a:rPr lang="en-US" sz="1100" b="1" baseline="0">
              <a:solidFill>
                <a:schemeClr val="bg1"/>
              </a:solidFill>
            </a:rPr>
            <a:t> Arrival of Boats</a:t>
          </a:r>
        </a:p>
        <a:p>
          <a:pPr algn="ctr"/>
          <a:r>
            <a:rPr lang="en-US" sz="2000" b="1" baseline="0">
              <a:solidFill>
                <a:schemeClr val="bg1"/>
              </a:solidFill>
              <a:effectLst/>
              <a:latin typeface="+mn-lt"/>
              <a:ea typeface="+mn-ea"/>
              <a:cs typeface="+mn-cs"/>
            </a:rPr>
            <a:t>73,932</a:t>
          </a:r>
        </a:p>
        <a:p>
          <a:pPr algn="ctr"/>
          <a:r>
            <a:rPr lang="en-NG" sz="1100">
              <a:solidFill>
                <a:schemeClr val="lt1"/>
              </a:solidFill>
              <a:effectLst/>
              <a:latin typeface="+mn-lt"/>
              <a:ea typeface="+mn-ea"/>
              <a:cs typeface="+mn-cs"/>
            </a:rPr>
            <a:t> </a:t>
          </a:r>
          <a:endParaRPr lang="en-NG" sz="2400">
            <a:effectLst/>
          </a:endParaRPr>
        </a:p>
        <a:p>
          <a:pPr algn="ctr"/>
          <a:endParaRPr lang="LID4096" sz="2400">
            <a:solidFill>
              <a:schemeClr val="bg1"/>
            </a:solidFill>
          </a:endParaRPr>
        </a:p>
      </xdr:txBody>
    </xdr:sp>
    <xdr:clientData/>
  </xdr:twoCellAnchor>
  <xdr:twoCellAnchor>
    <xdr:from>
      <xdr:col>13</xdr:col>
      <xdr:colOff>195190</xdr:colOff>
      <xdr:row>3</xdr:row>
      <xdr:rowOff>108633</xdr:rowOff>
    </xdr:from>
    <xdr:to>
      <xdr:col>16</xdr:col>
      <xdr:colOff>256150</xdr:colOff>
      <xdr:row>7</xdr:row>
      <xdr:rowOff>14457</xdr:rowOff>
    </xdr:to>
    <xdr:sp macro="" textlink="">
      <xdr:nvSpPr>
        <xdr:cNvPr id="12" name="Rectangle: Rounded Corners 11">
          <a:extLst>
            <a:ext uri="{FF2B5EF4-FFF2-40B4-BE49-F238E27FC236}">
              <a16:creationId xmlns:a16="http://schemas.microsoft.com/office/drawing/2014/main" id="{16B5BED4-DDE8-4214-B5AE-DAF9A88EB22B}"/>
            </a:ext>
          </a:extLst>
        </xdr:cNvPr>
        <xdr:cNvSpPr/>
      </xdr:nvSpPr>
      <xdr:spPr>
        <a:xfrm>
          <a:off x="8069190" y="665479"/>
          <a:ext cx="1878037" cy="64828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Total</a:t>
          </a:r>
          <a:r>
            <a:rPr lang="en-US" sz="1100" b="1" baseline="0">
              <a:solidFill>
                <a:schemeClr val="bg1"/>
              </a:solidFill>
            </a:rPr>
            <a:t> Departure of Boats</a:t>
          </a:r>
        </a:p>
        <a:p>
          <a:pPr algn="ctr"/>
          <a:r>
            <a:rPr lang="en-US" sz="2000" b="1" baseline="0">
              <a:solidFill>
                <a:schemeClr val="bg1"/>
              </a:solidFill>
              <a:effectLst/>
              <a:latin typeface="+mn-lt"/>
              <a:ea typeface="+mn-ea"/>
              <a:cs typeface="+mn-cs"/>
            </a:rPr>
            <a:t>68,780</a:t>
          </a:r>
        </a:p>
        <a:p>
          <a:pPr algn="ctr"/>
          <a:r>
            <a:rPr lang="en-NG" sz="1100">
              <a:solidFill>
                <a:schemeClr val="lt1"/>
              </a:solidFill>
              <a:effectLst/>
              <a:latin typeface="+mn-lt"/>
              <a:ea typeface="+mn-ea"/>
              <a:cs typeface="+mn-cs"/>
            </a:rPr>
            <a:t> </a:t>
          </a:r>
          <a:endParaRPr lang="en-NG" sz="2400">
            <a:effectLst/>
          </a:endParaRPr>
        </a:p>
        <a:p>
          <a:pPr algn="ctr"/>
          <a:endParaRPr lang="LID4096" sz="2400">
            <a:solidFill>
              <a:schemeClr val="bg1"/>
            </a:solidFill>
          </a:endParaRPr>
        </a:p>
      </xdr:txBody>
    </xdr:sp>
    <xdr:clientData/>
  </xdr:twoCellAnchor>
  <xdr:twoCellAnchor>
    <xdr:from>
      <xdr:col>0</xdr:col>
      <xdr:colOff>195384</xdr:colOff>
      <xdr:row>7</xdr:row>
      <xdr:rowOff>146538</xdr:rowOff>
    </xdr:from>
    <xdr:to>
      <xdr:col>7</xdr:col>
      <xdr:colOff>302846</xdr:colOff>
      <xdr:row>22</xdr:row>
      <xdr:rowOff>111513</xdr:rowOff>
    </xdr:to>
    <xdr:graphicFrame macro="">
      <xdr:nvGraphicFramePr>
        <xdr:cNvPr id="13" name="Chart 12">
          <a:extLst>
            <a:ext uri="{FF2B5EF4-FFF2-40B4-BE49-F238E27FC236}">
              <a16:creationId xmlns:a16="http://schemas.microsoft.com/office/drawing/2014/main" id="{EEE72894-B05F-45C3-AFF9-C49C33C68E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459154</xdr:colOff>
      <xdr:row>7</xdr:row>
      <xdr:rowOff>167268</xdr:rowOff>
    </xdr:from>
    <xdr:to>
      <xdr:col>15</xdr:col>
      <xdr:colOff>427464</xdr:colOff>
      <xdr:row>22</xdr:row>
      <xdr:rowOff>111513</xdr:rowOff>
    </xdr:to>
    <xdr:graphicFrame macro="">
      <xdr:nvGraphicFramePr>
        <xdr:cNvPr id="14" name="Chart 13">
          <a:extLst>
            <a:ext uri="{FF2B5EF4-FFF2-40B4-BE49-F238E27FC236}">
              <a16:creationId xmlns:a16="http://schemas.microsoft.com/office/drawing/2014/main" id="{4721FBEA-C057-494A-B9C0-98EC29D424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594254</xdr:colOff>
      <xdr:row>7</xdr:row>
      <xdr:rowOff>167268</xdr:rowOff>
    </xdr:from>
    <xdr:to>
      <xdr:col>23</xdr:col>
      <xdr:colOff>252331</xdr:colOff>
      <xdr:row>22</xdr:row>
      <xdr:rowOff>92927</xdr:rowOff>
    </xdr:to>
    <xdr:graphicFrame macro="">
      <xdr:nvGraphicFramePr>
        <xdr:cNvPr id="15" name="Chart 14">
          <a:extLst>
            <a:ext uri="{FF2B5EF4-FFF2-40B4-BE49-F238E27FC236}">
              <a16:creationId xmlns:a16="http://schemas.microsoft.com/office/drawing/2014/main" id="{307805D8-D032-4CF2-BA9F-88E3DBBA1E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361461</xdr:colOff>
      <xdr:row>3</xdr:row>
      <xdr:rowOff>9770</xdr:rowOff>
    </xdr:from>
    <xdr:to>
      <xdr:col>20</xdr:col>
      <xdr:colOff>488462</xdr:colOff>
      <xdr:row>7</xdr:row>
      <xdr:rowOff>117229</xdr:rowOff>
    </xdr:to>
    <mc:AlternateContent xmlns:mc="http://schemas.openxmlformats.org/markup-compatibility/2006" xmlns:sle15="http://schemas.microsoft.com/office/drawing/2012/slicer">
      <mc:Choice Requires="sle15">
        <xdr:graphicFrame macro="">
          <xdr:nvGraphicFramePr>
            <xdr:cNvPr id="16" name="arrival_departure 1">
              <a:extLst>
                <a:ext uri="{FF2B5EF4-FFF2-40B4-BE49-F238E27FC236}">
                  <a16:creationId xmlns:a16="http://schemas.microsoft.com/office/drawing/2014/main" id="{F9009CB1-5D6B-493A-BC0A-74A44A663CCC}"/>
                </a:ext>
              </a:extLst>
            </xdr:cNvPr>
            <xdr:cNvGraphicFramePr/>
          </xdr:nvGraphicFramePr>
          <xdr:xfrm>
            <a:off x="0" y="0"/>
            <a:ext cx="0" cy="0"/>
          </xdr:xfrm>
          <a:graphic>
            <a:graphicData uri="http://schemas.microsoft.com/office/drawing/2010/slicer">
              <sle:slicer xmlns:sle="http://schemas.microsoft.com/office/drawing/2010/slicer" name="arrival_departure 1"/>
            </a:graphicData>
          </a:graphic>
        </xdr:graphicFrame>
      </mc:Choice>
      <mc:Fallback xmlns="">
        <xdr:sp macro="" textlink="">
          <xdr:nvSpPr>
            <xdr:cNvPr id="0" name=""/>
            <xdr:cNvSpPr>
              <a:spLocks noTextEdit="1"/>
            </xdr:cNvSpPr>
          </xdr:nvSpPr>
          <xdr:spPr>
            <a:xfrm>
              <a:off x="10787851" y="567331"/>
              <a:ext cx="1966952" cy="850874"/>
            </a:xfrm>
            <a:prstGeom prst="rect">
              <a:avLst/>
            </a:prstGeom>
            <a:solidFill>
              <a:prstClr val="white"/>
            </a:solidFill>
            <a:ln w="1">
              <a:solidFill>
                <a:prstClr val="green"/>
              </a:solidFill>
            </a:ln>
          </xdr:spPr>
          <xdr:txBody>
            <a:bodyPr vertOverflow="clip" horzOverflow="clip"/>
            <a:lstStyle/>
            <a:p>
              <a:r>
                <a:rPr lang="LID4096"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195147</xdr:colOff>
      <xdr:row>22</xdr:row>
      <xdr:rowOff>157976</xdr:rowOff>
    </xdr:from>
    <xdr:to>
      <xdr:col>10</xdr:col>
      <xdr:colOff>18585</xdr:colOff>
      <xdr:row>38</xdr:row>
      <xdr:rowOff>18586</xdr:rowOff>
    </xdr:to>
    <xdr:graphicFrame macro="">
      <xdr:nvGraphicFramePr>
        <xdr:cNvPr id="17" name="Chart 16">
          <a:extLst>
            <a:ext uri="{FF2B5EF4-FFF2-40B4-BE49-F238E27FC236}">
              <a16:creationId xmlns:a16="http://schemas.microsoft.com/office/drawing/2014/main" id="{49728B64-2A30-40C2-A1F4-D133DC5251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548640</xdr:colOff>
      <xdr:row>6</xdr:row>
      <xdr:rowOff>160021</xdr:rowOff>
    </xdr:from>
    <xdr:to>
      <xdr:col>14</xdr:col>
      <xdr:colOff>502920</xdr:colOff>
      <xdr:row>18</xdr:row>
      <xdr:rowOff>22861</xdr:rowOff>
    </xdr:to>
    <mc:AlternateContent xmlns:mc="http://schemas.openxmlformats.org/markup-compatibility/2006" xmlns:sle15="http://schemas.microsoft.com/office/drawing/2012/slicer">
      <mc:Choice Requires="sle15">
        <xdr:graphicFrame macro="">
          <xdr:nvGraphicFramePr>
            <xdr:cNvPr id="2" name="Operation">
              <a:extLst>
                <a:ext uri="{FF2B5EF4-FFF2-40B4-BE49-F238E27FC236}">
                  <a16:creationId xmlns:a16="http://schemas.microsoft.com/office/drawing/2014/main" id="{838371F0-7B77-439F-AC39-75CDBFE24846}"/>
                </a:ext>
              </a:extLst>
            </xdr:cNvPr>
            <xdr:cNvGraphicFramePr/>
          </xdr:nvGraphicFramePr>
          <xdr:xfrm>
            <a:off x="0" y="0"/>
            <a:ext cx="0" cy="0"/>
          </xdr:xfrm>
          <a:graphic>
            <a:graphicData uri="http://schemas.microsoft.com/office/drawing/2010/slicer">
              <sle:slicer xmlns:sle="http://schemas.microsoft.com/office/drawing/2010/slicer" name="Operation"/>
            </a:graphicData>
          </a:graphic>
        </xdr:graphicFrame>
      </mc:Choice>
      <mc:Fallback xmlns="">
        <xdr:sp macro="" textlink="">
          <xdr:nvSpPr>
            <xdr:cNvPr id="0" name=""/>
            <xdr:cNvSpPr>
              <a:spLocks noTextEdit="1"/>
            </xdr:cNvSpPr>
          </xdr:nvSpPr>
          <xdr:spPr>
            <a:xfrm>
              <a:off x="8343900" y="708661"/>
              <a:ext cx="1783080" cy="944880"/>
            </a:xfrm>
            <a:prstGeom prst="rect">
              <a:avLst/>
            </a:prstGeom>
            <a:solidFill>
              <a:prstClr val="white"/>
            </a:solidFill>
            <a:ln w="1">
              <a:solidFill>
                <a:prstClr val="green"/>
              </a:solidFill>
            </a:ln>
          </xdr:spPr>
          <xdr:txBody>
            <a:bodyPr vertOverflow="clip" horzOverflow="clip"/>
            <a:lstStyle/>
            <a:p>
              <a:r>
                <a:rPr lang="LID4096"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7620</xdr:colOff>
      <xdr:row>1</xdr:row>
      <xdr:rowOff>0</xdr:rowOff>
    </xdr:from>
    <xdr:to>
      <xdr:col>11</xdr:col>
      <xdr:colOff>518160</xdr:colOff>
      <xdr:row>28</xdr:row>
      <xdr:rowOff>163830</xdr:rowOff>
    </xdr:to>
    <xdr:graphicFrame macro="">
      <xdr:nvGraphicFramePr>
        <xdr:cNvPr id="3" name="Chart 2">
          <a:extLst>
            <a:ext uri="{FF2B5EF4-FFF2-40B4-BE49-F238E27FC236}">
              <a16:creationId xmlns:a16="http://schemas.microsoft.com/office/drawing/2014/main" id="{3216C79D-99A9-4088-A3AC-E7E6D492BD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175260</xdr:colOff>
      <xdr:row>1</xdr:row>
      <xdr:rowOff>133350</xdr:rowOff>
    </xdr:from>
    <xdr:to>
      <xdr:col>22</xdr:col>
      <xdr:colOff>411480</xdr:colOff>
      <xdr:row>18</xdr:row>
      <xdr:rowOff>167640</xdr:rowOff>
    </xdr:to>
    <xdr:graphicFrame macro="">
      <xdr:nvGraphicFramePr>
        <xdr:cNvPr id="3" name="Chart 2">
          <a:extLst>
            <a:ext uri="{FF2B5EF4-FFF2-40B4-BE49-F238E27FC236}">
              <a16:creationId xmlns:a16="http://schemas.microsoft.com/office/drawing/2014/main" id="{488B3FE5-CCD3-41D6-BC7A-D2146697A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22860</xdr:colOff>
      <xdr:row>1</xdr:row>
      <xdr:rowOff>125730</xdr:rowOff>
    </xdr:from>
    <xdr:to>
      <xdr:col>15</xdr:col>
      <xdr:colOff>167640</xdr:colOff>
      <xdr:row>19</xdr:row>
      <xdr:rowOff>15240</xdr:rowOff>
    </xdr:to>
    <xdr:graphicFrame macro="">
      <xdr:nvGraphicFramePr>
        <xdr:cNvPr id="4" name="Chart 3">
          <a:extLst>
            <a:ext uri="{FF2B5EF4-FFF2-40B4-BE49-F238E27FC236}">
              <a16:creationId xmlns:a16="http://schemas.microsoft.com/office/drawing/2014/main" id="{D9D3D635-B527-4975-B55A-2DC794FBD3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83820</xdr:colOff>
      <xdr:row>0</xdr:row>
      <xdr:rowOff>106680</xdr:rowOff>
    </xdr:from>
    <xdr:to>
      <xdr:col>10</xdr:col>
      <xdr:colOff>388620</xdr:colOff>
      <xdr:row>16</xdr:row>
      <xdr:rowOff>179070</xdr:rowOff>
    </xdr:to>
    <xdr:graphicFrame macro="">
      <xdr:nvGraphicFramePr>
        <xdr:cNvPr id="2" name="Chart 1">
          <a:extLst>
            <a:ext uri="{FF2B5EF4-FFF2-40B4-BE49-F238E27FC236}">
              <a16:creationId xmlns:a16="http://schemas.microsoft.com/office/drawing/2014/main" id="{D03087FF-31FC-4DFD-81F9-FE4128FDC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205740</xdr:colOff>
      <xdr:row>0</xdr:row>
      <xdr:rowOff>91440</xdr:rowOff>
    </xdr:from>
    <xdr:to>
      <xdr:col>19</xdr:col>
      <xdr:colOff>259080</xdr:colOff>
      <xdr:row>16</xdr:row>
      <xdr:rowOff>129540</xdr:rowOff>
    </xdr:to>
    <xdr:graphicFrame macro="">
      <xdr:nvGraphicFramePr>
        <xdr:cNvPr id="4" name="Chart 3">
          <a:extLst>
            <a:ext uri="{FF2B5EF4-FFF2-40B4-BE49-F238E27FC236}">
              <a16:creationId xmlns:a16="http://schemas.microsoft.com/office/drawing/2014/main" id="{A6AA797B-E7B7-4516-976B-19828A28D0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320040</xdr:colOff>
      <xdr:row>1</xdr:row>
      <xdr:rowOff>76200</xdr:rowOff>
    </xdr:from>
    <xdr:to>
      <xdr:col>16</xdr:col>
      <xdr:colOff>541020</xdr:colOff>
      <xdr:row>21</xdr:row>
      <xdr:rowOff>26670</xdr:rowOff>
    </xdr:to>
    <xdr:graphicFrame macro="">
      <xdr:nvGraphicFramePr>
        <xdr:cNvPr id="2" name="Chart 1">
          <a:extLst>
            <a:ext uri="{FF2B5EF4-FFF2-40B4-BE49-F238E27FC236}">
              <a16:creationId xmlns:a16="http://schemas.microsoft.com/office/drawing/2014/main" id="{E6351E76-09A6-4429-AEC2-36E4461227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rival_departure" xr10:uid="{8540D0C6-FE29-40D7-87A0-316A3B096D82}" sourceName="Operation">
  <extLst>
    <x:ext xmlns:x15="http://schemas.microsoft.com/office/spreadsheetml/2010/11/main" uri="{2F2917AC-EB37-4324-AD4E-5DD8C200BD13}">
      <x15:tableSlicerCache tableId="2"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rival_departure 1" xr10:uid="{68510D85-E961-4A0E-AD3E-7E9B81DB3DB7}" cache="Slicer_arrival_departure" caption="Operation" style="SlicerStyleDark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ion" xr10:uid="{CCFF40B1-6943-4CB9-B31B-C13314FA0542}" cache="Slicer_arrival_departure" caption="Operat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DAA52A-CAD8-4433-A7D8-35E8CDAC57FD}" name="Table2" displayName="Table2" ref="A1:C25" totalsRowShown="0">
  <autoFilter ref="A1:C25" xr:uid="{68DAA52A-CAD8-4433-A7D8-35E8CDAC57FD}">
    <filterColumn colId="1">
      <filters>
        <filter val="Departure"/>
      </filters>
    </filterColumn>
  </autoFilter>
  <tableColumns count="3">
    <tableColumn id="1" xr3:uid="{A53D99D5-7885-4B14-A93D-DC659ACD9844}" name="month"/>
    <tableColumn id="2" xr3:uid="{BD944C4F-E152-421E-8A86-FB47EC0AB0E5}" name="Operation"/>
    <tableColumn id="3" xr3:uid="{CF3349DC-97FD-4FC6-AB01-3469DAF28FC3}" name="total_passengers"/>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F77D21-9B9B-4381-A951-D04D680BAD61}" name="Table1" displayName="Table1" ref="A1:C22" totalsRowShown="0">
  <autoFilter ref="A1:C22" xr:uid="{8CF77D21-9B9B-4381-A951-D04D680BAD61}"/>
  <tableColumns count="3">
    <tableColumn id="1" xr3:uid="{EC20D82F-027D-4836-8514-74E36EC9F4D1}" name="hour_range" dataDxfId="0"/>
    <tableColumn id="2" xr3:uid="{B04E2820-C7FC-40F7-9C93-8C34325B1C26}" name="arrivals"/>
    <tableColumn id="3" xr3:uid="{089A09E4-E8F9-4132-A92D-EEA04C6EB71C}" name="departures"/>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5CBE0-51C6-48B3-8B82-BF3946F2408F}">
  <dimension ref="A1"/>
  <sheetViews>
    <sheetView showGridLines="0" tabSelected="1" zoomScale="82" zoomScaleNormal="82" workbookViewId="0">
      <selection activeCell="Y15" sqref="Y15"/>
    </sheetView>
  </sheetViews>
  <sheetFormatPr defaultRowHeight="14.4" x14ac:dyDescent="0.3"/>
  <cols>
    <col min="1" max="16384" width="8.88671875" style="2"/>
  </cols>
  <sheetData/>
  <pageMargins left="0.7" right="0.7" top="0.75" bottom="0.75" header="0.3" footer="0.3"/>
  <pageSetup orientation="portrait"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T25"/>
  <sheetViews>
    <sheetView workbookViewId="0">
      <selection activeCell="Q9" sqref="Q9"/>
    </sheetView>
  </sheetViews>
  <sheetFormatPr defaultRowHeight="14.4" x14ac:dyDescent="0.3"/>
  <cols>
    <col min="2" max="2" width="17" customWidth="1"/>
    <col min="3" max="3" width="16.6640625" customWidth="1"/>
  </cols>
  <sheetData>
    <row r="1" spans="1:20" x14ac:dyDescent="0.3">
      <c r="A1" t="s">
        <v>0</v>
      </c>
      <c r="B1" t="s">
        <v>87</v>
      </c>
      <c r="C1" t="s">
        <v>14</v>
      </c>
      <c r="O1" s="3" t="s">
        <v>86</v>
      </c>
      <c r="P1" s="4"/>
      <c r="Q1" s="4"/>
      <c r="R1" s="4"/>
      <c r="S1" s="4"/>
      <c r="T1" s="4"/>
    </row>
    <row r="2" spans="1:20" ht="13.2" hidden="1" customHeight="1" x14ac:dyDescent="0.3">
      <c r="A2" t="s">
        <v>4</v>
      </c>
      <c r="B2" t="s">
        <v>15</v>
      </c>
      <c r="C2">
        <v>56717</v>
      </c>
      <c r="O2" s="4"/>
      <c r="P2" s="4"/>
      <c r="Q2" s="4"/>
      <c r="R2" s="4"/>
      <c r="S2" s="4"/>
      <c r="T2" s="4"/>
    </row>
    <row r="3" spans="1:20" x14ac:dyDescent="0.3">
      <c r="A3" t="s">
        <v>4</v>
      </c>
      <c r="B3" t="s">
        <v>16</v>
      </c>
      <c r="C3">
        <v>56166</v>
      </c>
      <c r="O3" s="4"/>
      <c r="P3" s="4"/>
      <c r="Q3" s="4"/>
      <c r="R3" s="4"/>
      <c r="S3" s="4"/>
      <c r="T3" s="4"/>
    </row>
    <row r="4" spans="1:20" hidden="1" x14ac:dyDescent="0.3">
      <c r="A4" t="s">
        <v>6</v>
      </c>
      <c r="B4" t="s">
        <v>15</v>
      </c>
      <c r="C4">
        <v>91791</v>
      </c>
    </row>
    <row r="5" spans="1:20" x14ac:dyDescent="0.3">
      <c r="A5" t="s">
        <v>6</v>
      </c>
      <c r="B5" t="s">
        <v>16</v>
      </c>
      <c r="C5">
        <v>102068</v>
      </c>
    </row>
    <row r="6" spans="1:20" hidden="1" x14ac:dyDescent="0.3">
      <c r="A6" t="s">
        <v>5</v>
      </c>
      <c r="B6" t="s">
        <v>15</v>
      </c>
      <c r="C6">
        <v>81512</v>
      </c>
    </row>
    <row r="7" spans="1:20" x14ac:dyDescent="0.3">
      <c r="A7" t="s">
        <v>5</v>
      </c>
      <c r="B7" t="s">
        <v>16</v>
      </c>
      <c r="C7">
        <v>96929</v>
      </c>
    </row>
    <row r="8" spans="1:20" hidden="1" x14ac:dyDescent="0.3">
      <c r="A8" t="s">
        <v>9</v>
      </c>
      <c r="B8" t="s">
        <v>15</v>
      </c>
      <c r="C8">
        <v>75152</v>
      </c>
    </row>
    <row r="9" spans="1:20" x14ac:dyDescent="0.3">
      <c r="A9" t="s">
        <v>9</v>
      </c>
      <c r="B9" t="s">
        <v>16</v>
      </c>
      <c r="C9">
        <v>85671</v>
      </c>
    </row>
    <row r="10" spans="1:20" hidden="1" x14ac:dyDescent="0.3">
      <c r="A10" t="s">
        <v>2</v>
      </c>
      <c r="B10" t="s">
        <v>15</v>
      </c>
      <c r="C10">
        <v>77720</v>
      </c>
    </row>
    <row r="11" spans="1:20" x14ac:dyDescent="0.3">
      <c r="A11" t="s">
        <v>2</v>
      </c>
      <c r="B11" t="s">
        <v>16</v>
      </c>
      <c r="C11">
        <v>86560</v>
      </c>
    </row>
    <row r="12" spans="1:20" hidden="1" x14ac:dyDescent="0.3">
      <c r="A12" t="s">
        <v>10</v>
      </c>
      <c r="B12" t="s">
        <v>15</v>
      </c>
      <c r="C12">
        <v>70057</v>
      </c>
    </row>
    <row r="13" spans="1:20" x14ac:dyDescent="0.3">
      <c r="A13" t="s">
        <v>10</v>
      </c>
      <c r="B13" t="s">
        <v>16</v>
      </c>
      <c r="C13">
        <v>92873</v>
      </c>
    </row>
    <row r="14" spans="1:20" hidden="1" x14ac:dyDescent="0.3">
      <c r="A14" t="s">
        <v>8</v>
      </c>
      <c r="B14" t="s">
        <v>15</v>
      </c>
      <c r="C14">
        <v>60627</v>
      </c>
    </row>
    <row r="15" spans="1:20" ht="13.2" customHeight="1" x14ac:dyDescent="0.3">
      <c r="A15" t="s">
        <v>8</v>
      </c>
      <c r="B15" t="s">
        <v>16</v>
      </c>
      <c r="C15">
        <v>64285</v>
      </c>
    </row>
    <row r="16" spans="1:20" ht="16.2" hidden="1" customHeight="1" x14ac:dyDescent="0.3">
      <c r="A16" t="s">
        <v>7</v>
      </c>
      <c r="B16" t="s">
        <v>15</v>
      </c>
      <c r="C16">
        <v>51859</v>
      </c>
    </row>
    <row r="17" spans="1:7" x14ac:dyDescent="0.3">
      <c r="A17" t="s">
        <v>7</v>
      </c>
      <c r="B17" t="s">
        <v>16</v>
      </c>
      <c r="C17">
        <v>59570</v>
      </c>
    </row>
    <row r="18" spans="1:7" hidden="1" x14ac:dyDescent="0.3">
      <c r="A18" t="s">
        <v>3</v>
      </c>
      <c r="B18" t="s">
        <v>15</v>
      </c>
      <c r="C18">
        <v>59248</v>
      </c>
    </row>
    <row r="19" spans="1:7" x14ac:dyDescent="0.3">
      <c r="A19" t="s">
        <v>3</v>
      </c>
      <c r="B19" t="s">
        <v>16</v>
      </c>
      <c r="C19">
        <v>61744</v>
      </c>
    </row>
    <row r="20" spans="1:7" hidden="1" x14ac:dyDescent="0.3">
      <c r="A20" t="s">
        <v>13</v>
      </c>
      <c r="B20" t="s">
        <v>15</v>
      </c>
      <c r="C20">
        <v>49770</v>
      </c>
      <c r="G20">
        <f>SUM(C2:C25)</f>
        <v>1575086</v>
      </c>
    </row>
    <row r="21" spans="1:7" x14ac:dyDescent="0.3">
      <c r="A21" t="s">
        <v>13</v>
      </c>
      <c r="B21" t="s">
        <v>16</v>
      </c>
      <c r="C21">
        <v>55909</v>
      </c>
    </row>
    <row r="22" spans="1:7" hidden="1" x14ac:dyDescent="0.3">
      <c r="A22" t="s">
        <v>12</v>
      </c>
      <c r="B22" t="s">
        <v>15</v>
      </c>
      <c r="C22">
        <v>56662</v>
      </c>
    </row>
    <row r="23" spans="1:7" x14ac:dyDescent="0.3">
      <c r="A23" t="s">
        <v>12</v>
      </c>
      <c r="B23" t="s">
        <v>16</v>
      </c>
      <c r="C23">
        <v>60027</v>
      </c>
    </row>
    <row r="24" spans="1:7" hidden="1" x14ac:dyDescent="0.3">
      <c r="A24" t="s">
        <v>11</v>
      </c>
      <c r="B24" t="s">
        <v>15</v>
      </c>
      <c r="C24">
        <v>9791</v>
      </c>
    </row>
    <row r="25" spans="1:7" x14ac:dyDescent="0.3">
      <c r="A25" t="s">
        <v>11</v>
      </c>
      <c r="B25" t="s">
        <v>16</v>
      </c>
      <c r="C25">
        <v>12378</v>
      </c>
    </row>
  </sheetData>
  <mergeCells count="1">
    <mergeCell ref="O1:T3"/>
  </mergeCell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D6F1D-115F-4DF7-AAD1-804AA9B2CF7C}">
  <dimension ref="A1:F24"/>
  <sheetViews>
    <sheetView workbookViewId="0">
      <selection activeCell="E1" sqref="E1:E1048576"/>
    </sheetView>
  </sheetViews>
  <sheetFormatPr defaultRowHeight="14.4" x14ac:dyDescent="0.3"/>
  <sheetData>
    <row r="1" spans="1:6" x14ac:dyDescent="0.3">
      <c r="A1" t="s">
        <v>88</v>
      </c>
      <c r="B1" t="s">
        <v>85</v>
      </c>
      <c r="C1" t="s">
        <v>89</v>
      </c>
      <c r="D1" t="s">
        <v>85</v>
      </c>
      <c r="E1" t="s">
        <v>90</v>
      </c>
      <c r="F1" t="s">
        <v>85</v>
      </c>
    </row>
    <row r="2" spans="1:6" x14ac:dyDescent="0.3">
      <c r="A2" t="s">
        <v>69</v>
      </c>
      <c r="B2">
        <v>1</v>
      </c>
      <c r="C2" t="s">
        <v>30</v>
      </c>
      <c r="D2">
        <v>1305</v>
      </c>
      <c r="E2" t="s">
        <v>67</v>
      </c>
      <c r="F2">
        <v>127</v>
      </c>
    </row>
    <row r="3" spans="1:6" x14ac:dyDescent="0.3">
      <c r="A3" t="s">
        <v>83</v>
      </c>
      <c r="B3">
        <v>1</v>
      </c>
      <c r="C3" t="s">
        <v>64</v>
      </c>
      <c r="D3">
        <v>1476</v>
      </c>
      <c r="E3" t="s">
        <v>47</v>
      </c>
      <c r="F3">
        <v>192</v>
      </c>
    </row>
    <row r="4" spans="1:6" x14ac:dyDescent="0.3">
      <c r="A4" t="s">
        <v>72</v>
      </c>
      <c r="B4">
        <v>1</v>
      </c>
      <c r="C4" t="s">
        <v>50</v>
      </c>
      <c r="D4">
        <v>2081</v>
      </c>
      <c r="E4" t="s">
        <v>75</v>
      </c>
      <c r="F4">
        <v>219</v>
      </c>
    </row>
    <row r="5" spans="1:6" x14ac:dyDescent="0.3">
      <c r="A5" t="s">
        <v>54</v>
      </c>
      <c r="B5">
        <v>2</v>
      </c>
      <c r="C5" t="s">
        <v>43</v>
      </c>
      <c r="D5">
        <v>2308</v>
      </c>
      <c r="E5" t="s">
        <v>49</v>
      </c>
      <c r="F5">
        <v>220</v>
      </c>
    </row>
    <row r="6" spans="1:6" x14ac:dyDescent="0.3">
      <c r="A6" t="s">
        <v>79</v>
      </c>
      <c r="B6">
        <v>3</v>
      </c>
      <c r="C6" t="s">
        <v>34</v>
      </c>
      <c r="D6">
        <v>2677</v>
      </c>
      <c r="E6" t="s">
        <v>77</v>
      </c>
      <c r="F6">
        <v>239</v>
      </c>
    </row>
    <row r="7" spans="1:6" x14ac:dyDescent="0.3">
      <c r="A7" t="s">
        <v>22</v>
      </c>
      <c r="B7">
        <v>4</v>
      </c>
      <c r="C7" t="s">
        <v>51</v>
      </c>
      <c r="D7">
        <v>2912</v>
      </c>
      <c r="E7" t="s">
        <v>56</v>
      </c>
      <c r="F7">
        <v>242</v>
      </c>
    </row>
    <row r="8" spans="1:6" x14ac:dyDescent="0.3">
      <c r="A8" t="s">
        <v>60</v>
      </c>
      <c r="B8">
        <v>4</v>
      </c>
      <c r="C8" t="s">
        <v>80</v>
      </c>
      <c r="D8">
        <v>2931</v>
      </c>
      <c r="E8" t="s">
        <v>37</v>
      </c>
      <c r="F8">
        <v>302</v>
      </c>
    </row>
    <row r="9" spans="1:6" x14ac:dyDescent="0.3">
      <c r="A9" t="s">
        <v>82</v>
      </c>
      <c r="B9">
        <v>5</v>
      </c>
      <c r="C9" t="s">
        <v>62</v>
      </c>
      <c r="D9">
        <v>3501</v>
      </c>
      <c r="E9" t="s">
        <v>55</v>
      </c>
      <c r="F9">
        <v>305</v>
      </c>
    </row>
    <row r="10" spans="1:6" x14ac:dyDescent="0.3">
      <c r="A10" t="s">
        <v>71</v>
      </c>
      <c r="B10">
        <v>5</v>
      </c>
      <c r="C10" t="s">
        <v>40</v>
      </c>
      <c r="D10">
        <v>3633</v>
      </c>
      <c r="E10" t="s">
        <v>63</v>
      </c>
      <c r="F10">
        <v>314</v>
      </c>
    </row>
    <row r="11" spans="1:6" x14ac:dyDescent="0.3">
      <c r="A11" t="s">
        <v>28</v>
      </c>
      <c r="B11">
        <v>6</v>
      </c>
      <c r="C11" t="s">
        <v>52</v>
      </c>
      <c r="D11">
        <v>4112</v>
      </c>
      <c r="E11" t="s">
        <v>74</v>
      </c>
      <c r="F11">
        <v>342</v>
      </c>
    </row>
    <row r="12" spans="1:6" x14ac:dyDescent="0.3">
      <c r="A12" t="s">
        <v>78</v>
      </c>
      <c r="B12">
        <v>7</v>
      </c>
      <c r="C12" t="s">
        <v>42</v>
      </c>
      <c r="D12">
        <v>4122</v>
      </c>
      <c r="E12" t="s">
        <v>26</v>
      </c>
      <c r="F12">
        <v>372</v>
      </c>
    </row>
    <row r="13" spans="1:6" x14ac:dyDescent="0.3">
      <c r="A13" t="s">
        <v>38</v>
      </c>
      <c r="B13">
        <v>9</v>
      </c>
      <c r="C13" t="s">
        <v>53</v>
      </c>
      <c r="D13">
        <v>6306</v>
      </c>
      <c r="E13" t="s">
        <v>24</v>
      </c>
      <c r="F13">
        <v>373</v>
      </c>
    </row>
    <row r="14" spans="1:6" x14ac:dyDescent="0.3">
      <c r="A14" t="s">
        <v>46</v>
      </c>
      <c r="B14">
        <v>10</v>
      </c>
      <c r="C14" t="s">
        <v>33</v>
      </c>
      <c r="D14">
        <v>7563</v>
      </c>
      <c r="E14" t="s">
        <v>25</v>
      </c>
      <c r="F14">
        <v>426</v>
      </c>
    </row>
    <row r="15" spans="1:6" x14ac:dyDescent="0.3">
      <c r="A15" t="s">
        <v>58</v>
      </c>
      <c r="B15">
        <v>34</v>
      </c>
      <c r="C15" t="s">
        <v>81</v>
      </c>
      <c r="D15">
        <v>7658</v>
      </c>
      <c r="E15" t="s">
        <v>23</v>
      </c>
      <c r="F15">
        <v>461</v>
      </c>
    </row>
    <row r="16" spans="1:6" x14ac:dyDescent="0.3">
      <c r="A16" t="s">
        <v>59</v>
      </c>
      <c r="B16">
        <v>35</v>
      </c>
      <c r="C16" t="s">
        <v>39</v>
      </c>
      <c r="D16">
        <v>8195</v>
      </c>
      <c r="E16" t="s">
        <v>27</v>
      </c>
      <c r="F16">
        <v>510</v>
      </c>
    </row>
    <row r="17" spans="1:6" x14ac:dyDescent="0.3">
      <c r="A17" t="s">
        <v>61</v>
      </c>
      <c r="B17">
        <v>36</v>
      </c>
      <c r="C17" t="s">
        <v>35</v>
      </c>
      <c r="D17">
        <v>10884</v>
      </c>
      <c r="E17" t="s">
        <v>70</v>
      </c>
      <c r="F17">
        <v>526</v>
      </c>
    </row>
    <row r="18" spans="1:6" x14ac:dyDescent="0.3">
      <c r="A18" t="s">
        <v>65</v>
      </c>
      <c r="B18">
        <v>40</v>
      </c>
      <c r="C18" t="s">
        <v>76</v>
      </c>
      <c r="D18">
        <v>11962</v>
      </c>
      <c r="E18" t="s">
        <v>32</v>
      </c>
      <c r="F18">
        <v>639</v>
      </c>
    </row>
    <row r="19" spans="1:6" x14ac:dyDescent="0.3">
      <c r="A19" t="s">
        <v>36</v>
      </c>
      <c r="B19">
        <v>81</v>
      </c>
      <c r="C19" t="s">
        <v>68</v>
      </c>
      <c r="D19">
        <v>12099</v>
      </c>
      <c r="E19" t="s">
        <v>73</v>
      </c>
      <c r="F19">
        <v>664</v>
      </c>
    </row>
    <row r="20" spans="1:6" x14ac:dyDescent="0.3">
      <c r="A20" t="s">
        <v>45</v>
      </c>
      <c r="B20">
        <v>81</v>
      </c>
      <c r="C20" t="s">
        <v>84</v>
      </c>
      <c r="D20">
        <v>14227</v>
      </c>
      <c r="E20" t="s">
        <v>41</v>
      </c>
      <c r="F20">
        <v>683</v>
      </c>
    </row>
    <row r="21" spans="1:6" x14ac:dyDescent="0.3">
      <c r="A21" t="s">
        <v>48</v>
      </c>
      <c r="B21">
        <v>93</v>
      </c>
      <c r="C21" t="s">
        <v>29</v>
      </c>
      <c r="D21">
        <v>15097</v>
      </c>
      <c r="E21" t="s">
        <v>66</v>
      </c>
      <c r="F21">
        <v>683</v>
      </c>
    </row>
    <row r="22" spans="1:6" x14ac:dyDescent="0.3">
      <c r="E22" t="s">
        <v>44</v>
      </c>
      <c r="F22">
        <v>983</v>
      </c>
    </row>
    <row r="23" spans="1:6" x14ac:dyDescent="0.3">
      <c r="E23" t="s">
        <v>31</v>
      </c>
      <c r="F23">
        <v>1187</v>
      </c>
    </row>
    <row r="24" spans="1:6" x14ac:dyDescent="0.3">
      <c r="E24" t="s">
        <v>57</v>
      </c>
      <c r="F24">
        <v>1203</v>
      </c>
    </row>
  </sheetData>
  <sortState xmlns:xlrd2="http://schemas.microsoft.com/office/spreadsheetml/2017/richdata2" ref="A2:B66">
    <sortCondition ref="B1:B66"/>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25"/>
  <sheetViews>
    <sheetView workbookViewId="0">
      <selection activeCell="U8" sqref="U8"/>
    </sheetView>
  </sheetViews>
  <sheetFormatPr defaultRowHeight="14.4" x14ac:dyDescent="0.3"/>
  <sheetData>
    <row r="1" spans="1:12" x14ac:dyDescent="0.3">
      <c r="A1" t="s">
        <v>0</v>
      </c>
      <c r="B1" t="s">
        <v>17</v>
      </c>
      <c r="C1" t="s">
        <v>18</v>
      </c>
      <c r="K1" t="s">
        <v>0</v>
      </c>
      <c r="L1" t="s">
        <v>18</v>
      </c>
    </row>
    <row r="2" spans="1:12" x14ac:dyDescent="0.3">
      <c r="A2" t="s">
        <v>4</v>
      </c>
      <c r="B2">
        <v>6397</v>
      </c>
      <c r="C2">
        <v>5302</v>
      </c>
      <c r="K2" t="s">
        <v>4</v>
      </c>
      <c r="L2">
        <v>5302</v>
      </c>
    </row>
    <row r="3" spans="1:12" x14ac:dyDescent="0.3">
      <c r="A3" t="s">
        <v>6</v>
      </c>
      <c r="B3">
        <v>9514</v>
      </c>
      <c r="C3">
        <v>8433</v>
      </c>
      <c r="K3" t="s">
        <v>6</v>
      </c>
      <c r="L3">
        <v>8433</v>
      </c>
    </row>
    <row r="4" spans="1:12" x14ac:dyDescent="0.3">
      <c r="A4" t="s">
        <v>5</v>
      </c>
      <c r="B4">
        <v>8791</v>
      </c>
      <c r="C4">
        <v>8255</v>
      </c>
      <c r="K4" t="s">
        <v>5</v>
      </c>
      <c r="L4">
        <v>8255</v>
      </c>
    </row>
    <row r="5" spans="1:12" x14ac:dyDescent="0.3">
      <c r="A5" t="s">
        <v>9</v>
      </c>
      <c r="B5">
        <v>8271</v>
      </c>
      <c r="C5">
        <v>7377</v>
      </c>
      <c r="K5" t="s">
        <v>9</v>
      </c>
      <c r="L5">
        <v>7377</v>
      </c>
    </row>
    <row r="6" spans="1:12" x14ac:dyDescent="0.3">
      <c r="A6" t="s">
        <v>2</v>
      </c>
      <c r="B6">
        <v>7862</v>
      </c>
      <c r="C6">
        <v>7031</v>
      </c>
      <c r="K6" t="s">
        <v>2</v>
      </c>
      <c r="L6">
        <v>7031</v>
      </c>
    </row>
    <row r="7" spans="1:12" x14ac:dyDescent="0.3">
      <c r="A7" t="s">
        <v>10</v>
      </c>
      <c r="B7">
        <v>6612</v>
      </c>
      <c r="C7">
        <v>6915</v>
      </c>
      <c r="K7" t="s">
        <v>10</v>
      </c>
      <c r="L7">
        <v>6915</v>
      </c>
    </row>
    <row r="8" spans="1:12" x14ac:dyDescent="0.3">
      <c r="A8" t="s">
        <v>8</v>
      </c>
      <c r="B8">
        <v>5766</v>
      </c>
      <c r="C8">
        <v>5070</v>
      </c>
      <c r="K8" t="s">
        <v>8</v>
      </c>
      <c r="L8">
        <v>5070</v>
      </c>
    </row>
    <row r="9" spans="1:12" x14ac:dyDescent="0.3">
      <c r="A9" t="s">
        <v>7</v>
      </c>
      <c r="B9">
        <v>4886</v>
      </c>
      <c r="C9">
        <v>4829</v>
      </c>
      <c r="K9" t="s">
        <v>7</v>
      </c>
      <c r="L9">
        <v>4829</v>
      </c>
    </row>
    <row r="10" spans="1:12" x14ac:dyDescent="0.3">
      <c r="A10" t="s">
        <v>3</v>
      </c>
      <c r="B10">
        <v>5554</v>
      </c>
      <c r="C10">
        <v>5271</v>
      </c>
      <c r="K10" t="s">
        <v>3</v>
      </c>
      <c r="L10">
        <v>5271</v>
      </c>
    </row>
    <row r="11" spans="1:12" x14ac:dyDescent="0.3">
      <c r="A11" t="s">
        <v>13</v>
      </c>
      <c r="B11">
        <v>4380</v>
      </c>
      <c r="C11">
        <v>4492</v>
      </c>
      <c r="K11" t="s">
        <v>13</v>
      </c>
      <c r="L11">
        <v>4492</v>
      </c>
    </row>
    <row r="12" spans="1:12" x14ac:dyDescent="0.3">
      <c r="A12" t="s">
        <v>12</v>
      </c>
      <c r="B12">
        <v>4970</v>
      </c>
      <c r="C12">
        <v>4797</v>
      </c>
      <c r="K12" t="s">
        <v>12</v>
      </c>
      <c r="L12">
        <v>4797</v>
      </c>
    </row>
    <row r="13" spans="1:12" x14ac:dyDescent="0.3">
      <c r="A13" t="s">
        <v>11</v>
      </c>
      <c r="B13">
        <v>929</v>
      </c>
      <c r="C13">
        <v>1008</v>
      </c>
      <c r="K13" t="s">
        <v>11</v>
      </c>
      <c r="L13">
        <v>1008</v>
      </c>
    </row>
    <row r="25" spans="2:3" x14ac:dyDescent="0.3">
      <c r="B25">
        <f>SUM(B2:B13)</f>
        <v>73932</v>
      </c>
      <c r="C25">
        <f>SUM(C2:C13)</f>
        <v>68780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E2B7-6234-4C3A-AD16-0FFC3A4045F4}">
  <dimension ref="A1:C22"/>
  <sheetViews>
    <sheetView workbookViewId="0">
      <selection activeCell="S11" sqref="S11"/>
    </sheetView>
  </sheetViews>
  <sheetFormatPr defaultRowHeight="14.4" x14ac:dyDescent="0.3"/>
  <cols>
    <col min="1" max="1" width="12.21875" customWidth="1"/>
    <col min="3" max="3" width="11.6640625" customWidth="1"/>
  </cols>
  <sheetData>
    <row r="1" spans="1:3" x14ac:dyDescent="0.3">
      <c r="A1" t="s">
        <v>19</v>
      </c>
      <c r="B1" t="s">
        <v>20</v>
      </c>
      <c r="C1" t="s">
        <v>21</v>
      </c>
    </row>
    <row r="2" spans="1:3" x14ac:dyDescent="0.3">
      <c r="A2" s="1">
        <v>4.1666666666666664E-2</v>
      </c>
      <c r="B2">
        <v>28</v>
      </c>
      <c r="C2">
        <v>28</v>
      </c>
    </row>
    <row r="3" spans="1:3" x14ac:dyDescent="0.3">
      <c r="A3" s="1">
        <v>0.125</v>
      </c>
      <c r="B3">
        <v>0</v>
      </c>
      <c r="C3">
        <v>1</v>
      </c>
    </row>
    <row r="4" spans="1:3" x14ac:dyDescent="0.3">
      <c r="A4" s="1">
        <v>0.20833333333333334</v>
      </c>
      <c r="B4">
        <v>14</v>
      </c>
      <c r="C4">
        <v>17</v>
      </c>
    </row>
    <row r="5" spans="1:3" x14ac:dyDescent="0.3">
      <c r="A5" s="1">
        <v>0.29166666666666669</v>
      </c>
      <c r="B5">
        <v>436</v>
      </c>
      <c r="C5">
        <v>742</v>
      </c>
    </row>
    <row r="6" spans="1:3" x14ac:dyDescent="0.3">
      <c r="A6" s="1">
        <v>0.33333333333333331</v>
      </c>
      <c r="B6">
        <v>8645</v>
      </c>
      <c r="C6">
        <v>8392</v>
      </c>
    </row>
    <row r="7" spans="1:3" x14ac:dyDescent="0.3">
      <c r="A7" s="1">
        <v>0.375</v>
      </c>
      <c r="B7">
        <v>12512</v>
      </c>
      <c r="C7">
        <v>11805</v>
      </c>
    </row>
    <row r="8" spans="1:3" x14ac:dyDescent="0.3">
      <c r="A8" s="1">
        <v>0.41666666666666669</v>
      </c>
      <c r="B8">
        <v>11633</v>
      </c>
      <c r="C8">
        <v>9987</v>
      </c>
    </row>
    <row r="9" spans="1:3" x14ac:dyDescent="0.3">
      <c r="A9" s="1">
        <v>0.45833333333333331</v>
      </c>
      <c r="B9">
        <v>8895</v>
      </c>
      <c r="C9">
        <v>8079</v>
      </c>
    </row>
    <row r="10" spans="1:3" x14ac:dyDescent="0.3">
      <c r="A10" s="1">
        <v>0.5</v>
      </c>
      <c r="B10">
        <v>6509</v>
      </c>
      <c r="C10">
        <v>6537</v>
      </c>
    </row>
    <row r="11" spans="1:3" x14ac:dyDescent="0.3">
      <c r="A11" s="1">
        <v>0.54166666666666663</v>
      </c>
      <c r="B11">
        <v>5189</v>
      </c>
      <c r="C11">
        <v>5508</v>
      </c>
    </row>
    <row r="12" spans="1:3" x14ac:dyDescent="0.3">
      <c r="A12" s="1">
        <v>0.58333333333333337</v>
      </c>
      <c r="B12">
        <v>4247</v>
      </c>
      <c r="C12">
        <v>4620</v>
      </c>
    </row>
    <row r="13" spans="1:3" x14ac:dyDescent="0.3">
      <c r="A13" s="1">
        <v>0.625</v>
      </c>
      <c r="B13">
        <v>4251</v>
      </c>
      <c r="C13">
        <v>3997</v>
      </c>
    </row>
    <row r="14" spans="1:3" x14ac:dyDescent="0.3">
      <c r="A14" s="1">
        <v>0.66666666666666663</v>
      </c>
      <c r="B14">
        <v>2962</v>
      </c>
      <c r="C14">
        <v>3324</v>
      </c>
    </row>
    <row r="15" spans="1:3" x14ac:dyDescent="0.3">
      <c r="A15" s="1">
        <v>0.70833333333333337</v>
      </c>
      <c r="B15">
        <v>2861</v>
      </c>
      <c r="C15">
        <v>2851</v>
      </c>
    </row>
    <row r="16" spans="1:3" x14ac:dyDescent="0.3">
      <c r="A16" s="1">
        <v>0.75</v>
      </c>
      <c r="B16">
        <v>3647</v>
      </c>
      <c r="C16">
        <v>2262</v>
      </c>
    </row>
    <row r="17" spans="1:3" x14ac:dyDescent="0.3">
      <c r="A17" s="1">
        <v>0.79166666666666663</v>
      </c>
      <c r="B17">
        <v>2088</v>
      </c>
      <c r="C17">
        <v>866</v>
      </c>
    </row>
    <row r="18" spans="1:3" x14ac:dyDescent="0.3">
      <c r="A18" s="1">
        <v>0.83333333333333337</v>
      </c>
      <c r="B18">
        <v>276</v>
      </c>
      <c r="C18">
        <v>121</v>
      </c>
    </row>
    <row r="19" spans="1:3" x14ac:dyDescent="0.3">
      <c r="A19" s="1">
        <v>0.875</v>
      </c>
      <c r="B19">
        <v>98</v>
      </c>
      <c r="C19">
        <v>36</v>
      </c>
    </row>
    <row r="20" spans="1:3" x14ac:dyDescent="0.3">
      <c r="A20" s="1">
        <v>0.91666666666666663</v>
      </c>
      <c r="B20">
        <v>60</v>
      </c>
      <c r="C20">
        <v>14</v>
      </c>
    </row>
    <row r="21" spans="1:3" x14ac:dyDescent="0.3">
      <c r="A21" s="1">
        <v>0.95833333333333337</v>
      </c>
      <c r="B21">
        <v>23</v>
      </c>
      <c r="C21">
        <v>8</v>
      </c>
    </row>
    <row r="22" spans="1:3" x14ac:dyDescent="0.3">
      <c r="A22" s="1">
        <v>1</v>
      </c>
      <c r="B22">
        <v>6</v>
      </c>
      <c r="C22">
        <v>4</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13"/>
  <sheetViews>
    <sheetView workbookViewId="0">
      <selection activeCell="E6" sqref="E6"/>
    </sheetView>
  </sheetViews>
  <sheetFormatPr defaultRowHeight="14.4" x14ac:dyDescent="0.3"/>
  <sheetData>
    <row r="1" spans="1:2" x14ac:dyDescent="0.3">
      <c r="A1" t="s">
        <v>0</v>
      </c>
      <c r="B1" t="s">
        <v>1</v>
      </c>
    </row>
    <row r="2" spans="1:2" x14ac:dyDescent="0.3">
      <c r="A2" t="s">
        <v>4</v>
      </c>
      <c r="B2">
        <v>11699</v>
      </c>
    </row>
    <row r="3" spans="1:2" x14ac:dyDescent="0.3">
      <c r="A3" t="s">
        <v>6</v>
      </c>
      <c r="B3">
        <v>17947</v>
      </c>
    </row>
    <row r="4" spans="1:2" x14ac:dyDescent="0.3">
      <c r="A4" t="s">
        <v>5</v>
      </c>
      <c r="B4">
        <v>17046</v>
      </c>
    </row>
    <row r="5" spans="1:2" x14ac:dyDescent="0.3">
      <c r="A5" t="s">
        <v>9</v>
      </c>
      <c r="B5">
        <v>15648</v>
      </c>
    </row>
    <row r="6" spans="1:2" x14ac:dyDescent="0.3">
      <c r="A6" t="s">
        <v>2</v>
      </c>
      <c r="B6">
        <v>14893</v>
      </c>
    </row>
    <row r="7" spans="1:2" x14ac:dyDescent="0.3">
      <c r="A7" t="s">
        <v>10</v>
      </c>
      <c r="B7">
        <v>13527</v>
      </c>
    </row>
    <row r="8" spans="1:2" x14ac:dyDescent="0.3">
      <c r="A8" t="s">
        <v>8</v>
      </c>
      <c r="B8">
        <v>10836</v>
      </c>
    </row>
    <row r="9" spans="1:2" x14ac:dyDescent="0.3">
      <c r="A9" t="s">
        <v>7</v>
      </c>
      <c r="B9">
        <v>9715</v>
      </c>
    </row>
    <row r="10" spans="1:2" x14ac:dyDescent="0.3">
      <c r="A10" t="s">
        <v>3</v>
      </c>
      <c r="B10">
        <v>10825</v>
      </c>
    </row>
    <row r="11" spans="1:2" x14ac:dyDescent="0.3">
      <c r="A11" t="s">
        <v>13</v>
      </c>
      <c r="B11">
        <v>8872</v>
      </c>
    </row>
    <row r="12" spans="1:2" x14ac:dyDescent="0.3">
      <c r="A12" t="s">
        <v>12</v>
      </c>
      <c r="B12">
        <v>9767</v>
      </c>
    </row>
    <row r="13" spans="1:2" x14ac:dyDescent="0.3">
      <c r="A13" t="s">
        <v>11</v>
      </c>
      <c r="B13">
        <v>1946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Jetty Dashboard</vt:lpstr>
      <vt:lpstr>Passengers Arrival-Departure </vt:lpstr>
      <vt:lpstr>Operation of Boats Per Location</vt:lpstr>
      <vt:lpstr>Total arrival and departure</vt:lpstr>
      <vt:lpstr>Boat Operations Per Time</vt:lpstr>
      <vt:lpstr>total boat traffic count per mo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OEA Consults</dc:creator>
  <cp:lastModifiedBy>ayodejiolatunde@outlook.com</cp:lastModifiedBy>
  <dcterms:created xsi:type="dcterms:W3CDTF">2023-11-17T15:36:43Z</dcterms:created>
  <dcterms:modified xsi:type="dcterms:W3CDTF">2023-12-05T10:40:05Z</dcterms:modified>
</cp:coreProperties>
</file>